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prasanth.balisetty/Downloads/"/>
    </mc:Choice>
  </mc:AlternateContent>
  <xr:revisionPtr revIDLastSave="0" documentId="13_ncr:1_{22F41540-AEFF-D94E-BA0F-36CD57A34E67}" xr6:coauthVersionLast="47" xr6:coauthVersionMax="47" xr10:uidLastSave="{00000000-0000-0000-0000-000000000000}"/>
  <bookViews>
    <workbookView xWindow="0" yWindow="660" windowWidth="29400" windowHeight="17180" xr2:uid="{00000000-000D-0000-FFFF-FFFF00000000}"/>
  </bookViews>
  <sheets>
    <sheet name="Sheet1" sheetId="1" r:id="rId1"/>
    <sheet name="Review Summary" sheetId="2" r:id="rId2"/>
    <sheet name="Final Check" sheetId="3" r:id="rId3"/>
  </sheets>
  <calcPr calcId="0"/>
</workbook>
</file>

<file path=xl/sharedStrings.xml><?xml version="1.0" encoding="utf-8"?>
<sst xmlns="http://schemas.openxmlformats.org/spreadsheetml/2006/main" count="1545" uniqueCount="869">
  <si>
    <t>review_case_id</t>
  </si>
  <si>
    <t>example_id</t>
  </si>
  <si>
    <t>question</t>
  </si>
  <si>
    <t>reference_answer</t>
  </si>
  <si>
    <t>model_response</t>
  </si>
  <si>
    <t>candidate_recall</t>
  </si>
  <si>
    <t>proof_valid</t>
  </si>
  <si>
    <t>unsupported_complete_answer</t>
  </si>
  <si>
    <t>selected_candidate_id</t>
  </si>
  <si>
    <t>selected_candidate_confidence</t>
  </si>
  <si>
    <t>proof_certificate</t>
  </si>
  <si>
    <t>manual_category</t>
  </si>
  <si>
    <t>manual_evidence_location</t>
  </si>
  <si>
    <t>manual_notes</t>
  </si>
  <si>
    <t>reviewer_confidence</t>
  </si>
  <si>
    <t>second_review_status</t>
  </si>
  <si>
    <t>FR-47114F1A</t>
  </si>
  <si>
    <t>AMAT/2014/page_35.pdf-1</t>
  </si>
  <si>
    <t>what percentage of warehouse locations are in north america?</t>
  </si>
  <si>
    <t>21.3%</t>
  </si>
  <si>
    <t>9.3333%</t>
  </si>
  <si>
    <t>derived_59948eb5e516</t>
  </si>
  <si>
    <t>{"answer_type": "percentage", "candidate_confidence": 0.950000049980452, "candidate_id": "derived_59948eb5e516", "decision": "accepted", "evidence_claims": [{"base_value": "7", "canonical": "7", "character_end": 236, "character_start": 234, "column_index": null, "column_label": null, "currency": null, "evidence_id": "text:s164:n4", "is_percent": false, "is_year": false, "metric_text": "in addition to the above properties , applied also owns and leases offices , plants and/or warehouse locations in 75 locations throughout the world : 16 in europe , 20 in japan , 16 in north america ( principally the united states ) , 7 in china , 3 in india , 7 in korea , 3 in southeast asia , and 3 in taiwan .", "period": null, "raw_number": "7", "row_index": null, "row_label": null, "scale": null, "sentence_index": 164, "source_type": "text", "text": "in addition to the above properties , applied also owns and leases offices , plants and/or warehouse locations in 75 locations throughout the world : 16 in europe , 20 in japan , 16 in north america ( principally the united states ) , 7 in china , 3 in india , 7 in korea , 3 in southeast asia , and 3 in taiwan .", "value": "7"}, {"base_value": "75", "canonical": "75", "character_end": 116, "character_start": 114, "column_index": null, "column_label": null, "currency": null, "evidence_id": "text:s164:n0", "is_percent": false, "is_year": false, "metric_text": "in addition to the above properties , applied also owns and leases offices , plants and/or warehouse locations in 75 locations throughout the world : 16 in europe , 20 in japan , 16 in north america ( principally the united states ) , 7 in china , 3 in india , 7 in korea , 3 in southeast asia , and 3 in taiwan .", "period": null, "raw_number": "75", "row_index": null, "row_label": null, "scale": null, "sentence_index": 164, "source_type": "text", "text": "in addition to the above properties , applied also owns and leases offices , plants and/or warehouse locations in 75 locations throughout the world : 16 in europe , 20 in japan , 16 in north america ( principally the united states ) , 7 in china , 3 in india , 7 in korea , 3 in southeast asia , and 3 in taiwan .", "value": "75"}], "evidence_ids": ["text:s164:n4", "text:s164:n0"], "expression": "(text:s164:n4 / text:s164:n0) * 100", "operation": "margin", "proof_type": "derived", "reason": "The complete answer has a valid question-conditioned provenance proof.", "response": "9.3333%"}</t>
  </si>
  <si>
    <t>metric_role_error</t>
  </si>
  <si>
    <t>Required evidence: text_79: in addition to the above properties , applied also owns and leases offices , plants and/or warehouse locations in 75 locations throughout the world : 16 in europe , 20... | text_163: in addition to the above properties , applied also owns and leases offices , plants and/or warehouse locations in 75 locations throughout the world : 16 in europe , 20... Selected/output evidence: text:s164:n4: text value 7 (in addition to the above properties , applied also owns and leases offices , plants and...) | text:s164:n0: text value 75 (in addition to the above properties , applied also owns and leases offices , plants and...)</t>
  </si>
  <si>
    <t>The correct operation was available, but the proof used the wrong value or row for one of the required roles. It selected text:s164:n4: text value 7 (in addition to the above properties , applied also owns and leases offices , plants and...) | text:s164:n0: text value 75 (in addition to the above properties , applied also owns and leases offices , plants and...) instead of using divide(16, 75).</t>
  </si>
  <si>
    <t>High</t>
  </si>
  <si>
    <t>Not required</t>
  </si>
  <si>
    <t>FR-1FD78C19</t>
  </si>
  <si>
    <t>AMT/2010/page_34.pdf-2</t>
  </si>
  <si>
    <t>on february 112011 what was the market capitalization</t>
  </si>
  <si>
    <t>22556579533.3</t>
  </si>
  <si>
    <t>39761</t>
  </si>
  <si>
    <t/>
  </si>
  <si>
    <t>{"answer_type": null, "candidate_confidence": null, "candidate_id": null, "decision": "rejected", "evidence_claims": [], "evidence_ids": [], "expression": null, "operation": null, "proof_type": null, "reason": "The complete answer is absent from the question-conditioned proof lattice.", "response": "39761"}</t>
  </si>
  <si>
    <t>under_refusal</t>
  </si>
  <si>
    <t>Required evidence: text_2: on february 11 , 2011 , the closing price of our common stock was $ 56.73 per share as reported on the nyse . | text_3: as of february 11 , 2011 , we had 397612895 outstanding shares of common stock and 463 registered holders . Selected/output evidence: No accepted proof evidence (The complete answer is absent from the question-conditioned proof lattice.).</t>
  </si>
  <si>
    <t>The system returned '39761' even though the complete answer was not supported by a valid proof and was not in the certified lattice.</t>
  </si>
  <si>
    <t>FR-A600BEC4</t>
  </si>
  <si>
    <t>BKR/2017/page_103.pdf-2</t>
  </si>
  <si>
    <t>what is the risk free interest of the stock based compensation expense in 2017?</t>
  </si>
  <si>
    <t>777000</t>
  </si>
  <si>
    <t>2.1%</t>
  </si>
  <si>
    <t>direct_fdf09a18d28b</t>
  </si>
  <si>
    <t>{"answer_type": "percentage", "candidate_confidence": 0.8244890894543289, "candidate_id": "direct_fdf09a18d28b", "decision": "accepted", "evidence_claims": [{"base_value": "2.1", "canonical": "2.1", "character_end": null, "character_start": null, "column_index": 1, "column_label": "2017", "currency": null, "evidence_id": "table:r2:c1:n0", "is_percent": true, "is_year": false, "metric_text": "Risk-free interest rate", "period": "2017", "raw_number": "2.1%", "row_index": 2, "row_label": "Risk-free interest rate", "scale": null, "sentence_index": null, "source_type": "table", "text": "Risk-free interest rate | 2017 | 2.1%", "value": "2.1"}], "evidence_ids": ["table:r2:c1:n0"], "expression": "table:r2:c1:n0", "operation": "lookup", "proof_type": "direct", "reason": "The complete answer has a valid question-conditioned provenance proof.", "response": "2.1%"}</t>
  </si>
  <si>
    <t>operation_schema_error</t>
  </si>
  <si>
    <t>Required evidence: table_2: the risk-free interest rate of 2017 is 2.1% ( 2.1 % ) ; | text_12: stock based compensation expense was $ 37 million in 2017 . Selected/output evidence: table:r2:c1:n0: table row 'Risk-free interest rate', column '2017' = 2.1</t>
  </si>
  <si>
    <t>The question required multiply(2.1%, multiply(37, const_1000000)), but the system treated it as direct_lookup. This produced '2.1%' rather than the requested calculation.</t>
  </si>
  <si>
    <t>FR-D8A1079C</t>
  </si>
  <si>
    <t>ABMD/2007/page_52.pdf-3</t>
  </si>
  <si>
    <t>what portion of total future obligations is related to operating lease obligations as of march 31 , 2007?</t>
  </si>
  <si>
    <t>54.4%</t>
  </si>
  <si>
    <t>3%</t>
  </si>
  <si>
    <t>direct_56748e1f6cda</t>
  </si>
  <si>
    <t>{"answer_type": "percentage", "candidate_confidence": 0.3904865855788185, "candidate_id": "direct_56748e1f6cda", "decision": "accepted", "evidence_claims": [{"base_value": "3000", "canonical": "3", "character_end": null, "character_start": null, "column_index": 3, "column_label": null, "currency": "USD", "evidence_id": "table:r1:c3:n1", "is_percent": false, "is_year": false, "metric_text": "Contractual Obligations", "period": null, "raw_number": "3", "row_index": 1, "row_label": "Contractual Obligations", "scale": "thousand", "sentence_index": null, "source_type": "table", "text": "Contractual Obligations |  | 1-3 Years", "value": "3"}], "evidence_ids": ["table:r1:c3:n1"], "expression": "table:r1:c3:n1", "operation": "lookup", "proof_type": "direct", "reason": "The complete answer has a valid question-conditioned provenance proof.", "response": "3%"}</t>
  </si>
  <si>
    <t>numeric_span_extraction</t>
  </si>
  <si>
    <t>Required evidence: table_1: contractual obligations the operating lease obligations of payments due by fiscal year total is $ 7669 ; the operating lease obligations of payments due by fiscal year... | table_3: contractual obligations the total obligations of payments due by fiscal year total is $ 14090 ; the total obligations of payments due by fiscal year less than 1 year i... Selected/output evidence: table:r1:c3:n1: table row 'Contractual Obligations' = 3</t>
  </si>
  <si>
    <t>A date, footnote marker, range label or another nearby number was parsed as an operand. This prevented the correct calculation divide(7669, 14090).</t>
  </si>
  <si>
    <t>Medium</t>
  </si>
  <si>
    <t>Resolved</t>
  </si>
  <si>
    <t>FR-ADD7517F</t>
  </si>
  <si>
    <t>APD/2013/page_32.pdf-1</t>
  </si>
  <si>
    <t>what was the percentual increase of other income due to favorable foreign exchange and reimbursements in 2011?</t>
  </si>
  <si>
    <t>11.46%</t>
  </si>
  <si>
    <t>5.4</t>
  </si>
  <si>
    <t>direct_a6033d5abdef</t>
  </si>
  <si>
    <t>{"answer_type": "percentage", "candidate_confidence": 0.6405912441329427, "candidate_id": "direct_a6033d5abdef", "decision": "accepted", "evidence_claims": [{"base_value": "5.4", "canonical": "5.4", "character_end": 62, "character_start": 56, "column_index": null, "column_label": null, "currency": "USD", "evidence_id": "text:s15:n2", "is_percent": false, "is_year": false, "metric_text": "2011 other income ( expense ) , net of $ 47.1 increased $ 5.4 , primarily due to favorable foreign exchange and reimbursements from government grants for expense , partially offset by lower gains from the sale of assets .", "period": "2011", "raw_number": "$ 5.4", "row_index": null, "row_label": null, "scale": null, "sentence_index": 15, "source_type": "text", "text": "2011 other income ( expense ) , net of $ 47.1 increased $ 5.4 , primarily due to favorable foreign exchange and reimbursements from government grants for expense , partially offset by lower gains from the sale of assets .", "value": "5.4"}], "evidence_ids": ["text:s15:n2"], "expression": "text:s15:n2", "operation": "lookup", "proof_type": "direct", "reason": "The complete answer has a valid question-conditioned provenance proof.", "response": "5.4"}</t>
  </si>
  <si>
    <t>Required evidence: text_15: 2011 other income ( expense ) , net of $ 47.1 increased $ 5.4 , primarily due to favorable foreign exchange and reimbursements from government grants for expense , par... Selected/output evidence: text:s15:n2: text value 5.4 for 2011 (2011 other income ( expense ) , net of $ 47.1 increased $ 5.4 , primarily due to favora...)</t>
  </si>
  <si>
    <t>The question required divide(5.4, 47.1), but the system treated it as direct_lookup. This produced '5.4' rather than the requested calculation.</t>
  </si>
  <si>
    <t>FR-F94FA71A</t>
  </si>
  <si>
    <t>GS/2017/page_106.pdf-4</t>
  </si>
  <si>
    <t>what was change in millions for the estimated sensitivity to a one basis point increase in credit spreads on derivatives ( including hedges ) between 2017 and 2016?</t>
  </si>
  <si>
    <t>1</t>
  </si>
  <si>
    <t>sensitivity to a one basis point increase in credit spreads was a gain of $ 3 million and $ 2</t>
  </si>
  <si>
    <t>{"answer_type": null, "candidate_confidence": null, "candidate_id": null, "decision": "rejected", "evidence_claims": [], "evidence_ids": [], "expression": null, "operation": null, "proof_type": null, "reason": "The response is not a complete single numeric answer.", "response": "sensitivity to a one basis point increase in credit spreads was a gain of $ 3 million and $ 2"}</t>
  </si>
  <si>
    <t>invalid_or_fragmentary_response</t>
  </si>
  <si>
    <t>Required evidence: text_13: the estimated sensitivity to a one basis point increase in credit spreads ( counterparty and our own ) on derivatives was a gain of $ 3 million and $ 2 million ( inclu... Selected/output evidence: No accepted proof evidence (The response is not a complete single numeric answer.).</t>
  </si>
  <si>
    <t>The output was not a complete single numeric answer. It returned 'sensitivity to a one basis point increase in credit spreads was a gain of $ 3 million and $ 2', so it could not be evaluated as a valid response.</t>
  </si>
  <si>
    <t>FR-B8A15773</t>
  </si>
  <si>
    <t>APTV/2014/page_49.pdf-3</t>
  </si>
  <si>
    <t>what is the difference between the highest and lowest return for the first year of the investment?</t>
  </si>
  <si>
    <t>68.92%</t>
  </si>
  <si>
    <t>89.27</t>
  </si>
  <si>
    <t>derived_18c60656d1b2</t>
  </si>
  <si>
    <t>{"answer_type": "plain", "candidate_confidence": 0.12517924703910824, "candidate_id": "derived_18c60656d1b2", "decision": "accepted", "evidence_claims": [{"base_value": "100.98", "canonical": "100.98", "character_end": null, "character_start": null, "column_index": 2, "column_label": "December 31, 2011", "currency": "USD", "evidence_id": "table:r1:c2:n0", "is_percent": false, "is_year": false, "metric_text": "Delphi Automotive PLC (1)", "period": "2011", "raw_number": "$100.98", "row_index": 1, "row_label": "Delphi Automotive PLC (1)", "scale": null, "sentence_index": null, "source_type": "table", "text": "Delphi Automotive PLC (1) | December 31, 2011 | $100.98", "value": "100.98"}, {"base_value": "100.80", "canonical": "100.8", "character_end": null, "character_start": null, "column_index": 2, "column_label": "December 31, 2011", "currency": "USD", "evidence_id": "table:r2:c2:n0", "is_percent": false, "is_year": false, "metric_text": "S&amp;P 500 (2)", "period": "2011", "raw_number": "100.80", "row_index": 2, "row_label": "S&amp;P 500 (2)", "scale": null, "sentence_index": null, "source_type": "table", "text": "S&amp;P 500 (2) | December 31, 2011 | 100.80", "value": "100.80"}, {"base_value": "89.27", "canonical": "89.27", "character_end": null, "character_start": null, "column_index": 2, "column_label": "December 31, 2011", "currency": "USD", "evidence_id": "table:r3:c2:n0", "is_percent": false, "is_year": false, "metric_text": "Automotive Supplier Peer Group (3)", "period": "2011", "raw_number": "89.27", "row_index": 3, "row_label": "Automotive Supplier Peer Group (3)", "scale": null, "sentence_index": null, "source_type": "table", "text": "Automotive Supplier Peer Group (3) | December 31, 2011 | 89.27", "value": "89.27"}], "evidence_ids": ["table:r1:c2:n0", "table:r2:c2:n0", "table:r3:c2:n0"], "expression": "min(table:r1:c2:n0,table:r2:c2:n0,table:r3:c2:n0)", "operation": "table_min", "proof_type": "derived", "reason": "The complete answer has a valid question-conditioned provenance proof.", "response": "89.27"}</t>
  </si>
  <si>
    <t>candidate_recall_failure</t>
  </si>
  <si>
    <t>Required evidence: table_1: company index the delphi automotive plc ( 1 ) of november 17 2011 is $ 100.00 ; the delphi automotive plc ( 1 ) of december 31 2011 is $ 100.98 ; the delphi automotive... | table_2: company index the s&amp;p 500 ( 2 ) of november 17 2011 is 100.00 ; the s&amp;p 500 ( 2 ) of december 31 2011 is 100.80 ; the s&amp;p 500 ( 2 ) of december 31 2012 is 116.93 ; the... | table_3: company index the automotive supplier peer group ( 3 ) of november 17 2011 is 100.00 ; the automotive supplier peer group ( 3 ) of december 31 2011 is 89.27 ; the auto... Selected/output evidence: table:r1:c2:n0: table row 'Delphi Automotive PLC (1)', column 'December 31, 2011' = 100.98 | table:r2:c2:n0: table row 'S&amp;P 500 (2)', column 'December 31, 2011' = 100.8 | table:r3:c2:n0: table row 'Automotive Supplier Peer Group (3)', column 'December 31, 2011' = 89.27</t>
  </si>
  <si>
    <t>The final candidate lattice did not contain the reference answer. The required calculation was subtract(179.33, 110.41), so the correct value could not be selected.</t>
  </si>
  <si>
    <t>FR-292E6EC0</t>
  </si>
  <si>
    <t>DRE/2009/page_72.pdf-2</t>
  </si>
  <si>
    <t>what was the percent of the increase in compensation cost recognized for rsus from 2008 to 2009</t>
  </si>
  <si>
    <t>48.9%</t>
  </si>
  <si>
    <t>derived_ac973f90c702</t>
  </si>
  <si>
    <t>{"answer_type": "percentage", "candidate_confidence": 0.8380144936100772, "candidate_id": "derived_ac973f90c702", "decision": "accepted", "evidence_claims": [{"base_value": "3000000.0", "canonical": "3", "character_end": 93, "character_start": 80, "column_index": null, "column_label": null, "currency": "USD", "evidence_id": "text:s1:n2", "is_percent": false, "is_year": false, "metric_text": "compensation cost recognized for rsus totaled $ 7.3 million , $ 4.9 million and $ 3.0 million for the years ended december 31 , 2009 , 2008 and 2007 , respectively .", "period": "2009", "raw_number": "$ 3.0 million", "row_index": null, "row_label": null, "scale": "million", "sentence_index": 1, "source_type": "text", "text": "compensation cost recognized for rsus totaled $ 7.3 million , $ 4.9 million and $ 3.0 million for the years ended december 31 , 2009 , 2008 and 2007 , respectively .", "value": "3.0"}, {"base_value": "31", "canonical": "31", "character_end": null, "character_start": null, "column_index": 0, "column_label": "Restricted Stock Units", "currency": "USD", "evidence_id": "table:r1:c0:n0", "is_percent": false, "is_year": false, "metric_text": "RSUs at December 31, 2008", "period": "2008", "raw_number": "31", "row_index": 1, "row_label": "RSUs at December 31, 2008", "scale": null, "sentence_index": null, "source_type": "table", "text": "RSUs at December 31, 2008 | Restricted Stock Units | RSUs at December 31, 2008", "value": "31"}], "evidence_ids": ["text:s1:n2", "table:r1:c0:n0"], "expression": "text:s1:n2 - table:r1:c0:n0", "operation": "subtraction", "proof_type": "derived", "reason": "The complete answer has a valid question-conditioned provenance proof.", "response": "3%"}</t>
  </si>
  <si>
    <t>retrieval_missing_support</t>
  </si>
  <si>
    <t>Required evidence: text_1: compensation cost recognized for rsus totaled $ 7.3 million , $ 4.9 million and $ 3.0 million for the years ended december 31 , 2009 , 2008 and 2007 , respectively . Selected/output evidence: text:s1:n2: text value 3 for 2009 (compensation cost recognized for rsus totaled $ 7.3 million , $ 4.9 million and $ 3.0 m...) | table:r1:c0:n0: table row 'RSUs at December 31, 2008', column 'Restricted Stock Units', period 2008 = 31</t>
  </si>
  <si>
    <t>Not all values needed for divide(subtract(7.3, 4.9), 4.9) were retained in the retrieved evidence, so the correct candidate was not built.</t>
  </si>
  <si>
    <t>FR-9CB7DFD8</t>
  </si>
  <si>
    <t>BLK/2013/page_124.pdf-2</t>
  </si>
  <si>
    <t>what is the carrying value of notes due by 2017 ? in millions $ .</t>
  </si>
  <si>
    <t>2448</t>
  </si>
  <si>
    <t>698</t>
  </si>
  <si>
    <t>direct_060fada00630</t>
  </si>
  <si>
    <t>{"answer_type": "plain", "candidate_confidence": 0.8403712188850242, "candidate_id": "direct_060fada00630", "decision": "accepted", "evidence_claims": [{"base_value": "698000000", "canonical": "698", "character_end": null, "character_start": null, "column_index": 3, "column_label": "Carrying Value", "currency": "USD", "evidence_id": "table:r3:c3:n0", "is_percent": false, "is_year": false, "metric_text": "6.25% Notes due 2017", "period": "2017", "raw_number": "698", "row_index": 3, "row_label": "6.25% Notes due 2017", "scale": "million", "sentence_index": null, "source_type": "table", "text": "6.25% Notes due 2017 | Carrying Value | 698", "value": "698"}], "evidence_ids": ["table:r3:c3:n0"], "expression": "table:r3:c3:n0", "operation": "lookup", "proof_type": "direct", "reason": "The complete answer has a valid question-conditioned provenance proof.", "response": "698"}</t>
  </si>
  <si>
    <t>Required evidence: table_1: ( in millions ) the 3.50% ( 3.50 % ) notes due 2014 of maturity amount is $ 1000 ; the 3.50% ( 3.50 % ) notes due 2014 of unamortized discount is $ 2014 ; the 3.50% ( ... | table_2: ( in millions ) the 1.375% ( 1.375 % ) notes due 2015 of maturity amount is 750 ; the 1.375% ( 1.375 % ) notes due 2015 of unamortized discount is 2014 ; the 1.375% ( ... | table_3: ( in millions ) the 6.25% ( 6.25 % ) notes due 2017 of maturity amount is 700 ; the 6.25% ( 6.25 % ) notes due 2017 of unamortized discount is -2 ( 2 ) ; the 6.25% ( 6... | text_0: long-term borrowings the carrying value and fair value of long-term borrowings estimated using market prices at december 31 , 2013 included the following : ( in millio... Selected/output evidence: table:r3:c3:n0: table row '6.25% Notes due 2017', column 'Carrying Value', period 2017 = 698</t>
  </si>
  <si>
    <t>The question required add(add(1000, 750), 698), but the system treated it as direct_lookup. This produced '698' rather than the requested calculation.</t>
  </si>
  <si>
    <t>FR-55FF9326</t>
  </si>
  <si>
    <t>L/2015/page_59.pdf-1</t>
  </si>
  <si>
    <t>what is the roi of an investment in loews common stock from 2010 to 2011?</t>
  </si>
  <si>
    <t>-2.6%</t>
  </si>
  <si>
    <t>97.37</t>
  </si>
  <si>
    <t>direct_2cc6321fed12</t>
  </si>
  <si>
    <t>{"answer_type": "percentage", "candidate_confidence": 0.6072949249530354, "candidate_id": "direct_2cc6321fed12", "decision": "accepted", "evidence_claims": [{"base_value": "97.37", "canonical": "97.37", "character_end": null, "character_start": null, "column_index": 2, "column_label": "2011", "currency": "USD", "evidence_id": "table:r1:c2:n0", "is_percent": false, "is_year": false, "metric_text": "Loews Common Stock", "period": "2011", "raw_number": "97.37", "row_index": 1, "row_label": "Loews Common Stock", "scale": null, "sentence_index": null, "source_type": "table", "text": "Loews Common Stock | 2011 | 97.37", "value": "97.37"}], "evidence_ids": ["table:r1:c2:n0"], "expression": "table:r1:c2:n0", "operation": "lookup", "proof_type": "direct", "reason": "The complete answer has a valid question-conditioned provenance proof.", "response": "97.37"}</t>
  </si>
  <si>
    <t>Required evidence: table_1: the loews common stock of 2010 is 100.0 ; the loews common stock of 2011 is 97.37 ; the loews common stock of 2012 is 106.04 ; the loews common stock of 2013 is 126.23... Selected/output evidence: table:r1:c2:n0: table row 'Loews Common Stock', column '2011' = 97.37</t>
  </si>
  <si>
    <t>The final candidate lattice did not contain the reference answer. The required calculation was divide(subtract(97.37, const_100), const_100), so the correct value could not be selected.</t>
  </si>
  <si>
    <t>FR-48A679C2</t>
  </si>
  <si>
    <t>ETFC/2011/page_82.pdf-2</t>
  </si>
  <si>
    <t>what percentage of total goodwill is attributable to u.s . brokerage reporting unit as december 31 , 2011?</t>
  </si>
  <si>
    <t>91%</t>
  </si>
  <si>
    <t>90.5387%</t>
  </si>
  <si>
    <t>derived_337d938bc4bc</t>
  </si>
  <si>
    <t>{"answer_type": "percentage", "candidate_confidence": 0.8567052244769551, "candidate_id": "derived_337d938bc4bc", "decision": "accepted", "evidence_claims": [{"base_value": "1751200000.0", "canonical": "1751.2", "character_end": null, "character_start": null, "column_index": 1, "column_label": "December 31, 2011", "currency": "USD", "evidence_id": "table:r1:c1:n0", "is_percent": false, "is_year": false, "metric_text": "U.S. Brokerage", "period": "2011", "raw_number": "$1,751.2", "row_index": 1, "row_label": "U.S. Brokerage", "scale": "million", "sentence_index": null, "source_type": "table", "text": "U.S. Brokerage | December 31, 2011 | $1,751.2", "value": "1751.2"}, {"base_value": "1934200000.0", "canonical": "1934.2", "character_end": null, "character_start": null, "column_index": 1, "column_label": "December 31, 2011", "currency": "USD", "evidence_id": "table:r4:c1:n0", "is_percent": false, "is_year": false, "metric_text": "Total goodwill", "period": "2011", "raw_number": "$1,934.2", "row_index": 4, "row_label": "Total goodwill", "scale": "million", "sentence_index": null, "source_type": "table", "text": "Total goodwill | December 31, 2011 | $1,934.2", "value": "1934.2"}], "evidence_ids": ["table:r1:c1:n0", "table:r4:c1:n0"], "expression": "(table:r1:c1:n0 / table:r4:c1:n0) * 100", "operation": "margin", "proof_type": "derived", "reason": "The complete answer has a valid question-conditioned provenance proof.", "response": "90.5387%"}</t>
  </si>
  <si>
    <t>rounding_tolerance_error</t>
  </si>
  <si>
    <t>Required evidence: table_1: reporting unit the u.s . brokerage of december 31 2011 is $ 1751.2 ; | table_4: reporting unit the total goodwill of december 31 2011 is $ 1934.2 ; Selected/output evidence: table:r1:c1:n0: table row 'U.S. Brokerage', column 'December 31, 2011' = 1751.2 | table:r4:c1:n0: table row 'Total goodwill', column 'December 31, 2011' = 1934.2</t>
  </si>
  <si>
    <t>The response 90.5387% is the unrounded source-based result and rounds to the reference 91%. The failure is caused by the answer tolerance or formatting rule.</t>
  </si>
  <si>
    <t>FR-AE3E2CC4</t>
  </si>
  <si>
    <t>ETR/2002/page_86.pdf-2</t>
  </si>
  <si>
    <t>in 2002 what was the ratio of the annual cash sinking fund requirements for debt outstanding that was due in 2004 to 2005</t>
  </si>
  <si>
    <t>1.7</t>
  </si>
  <si>
    <t>INSUFFICIENT_EVIDENCE</t>
  </si>
  <si>
    <t>abstain</t>
  </si>
  <si>
    <t>{"answer_type": "abstain", "candidate_confidence": null, "candidate_id": "abstain", "decision": "abstained", "evidence_claims": [], "evidence_ids": [], "expression": null, "operation": "abstain", "proof_type": "abstain", "reason": "The system withheld an answer.", "response": "INSUFFICIENT_EVIDENCE"}</t>
  </si>
  <si>
    <t>Required evidence: table_1: 2003 the 2004 of $ 1150786 is $ 925005 ; | table_2: 2003 the 2005 of $ 1150786 is $ 540372 ; Selected/output evidence: No accepted proof evidence (The system withheld an answer.).</t>
  </si>
  <si>
    <t>The final candidate lattice did not contain the reference answer. The required calculation was divide(925005, 540372), so the correct value could not be selected.</t>
  </si>
  <si>
    <t>FR-3E2C615C</t>
  </si>
  <si>
    <t>ETR/2011/page_341.pdf-3</t>
  </si>
  <si>
    <t>in 2010 what was the net change in net revenue in millions</t>
  </si>
  <si>
    <t>18.6</t>
  </si>
  <si>
    <t>over_refusal</t>
  </si>
  <si>
    <t>Required evidence: table_2: the volume/weather of amount ( in millions ) is 18.9 ; | table_3: the other of amount ( in millions ) is -0.3 ( 0.3 ) ; Selected/output evidence: No accepted proof evidence (The system withheld an answer.).</t>
  </si>
  <si>
    <t>The correct candidate was available, but the system returned INSUFFICIENT_EVIDENCE instead of answering with 18.6. The source table supports 18.6 because 'Other' is -0.3, but the FinQA program records +0.3.</t>
  </si>
  <si>
    <t>FR-9C526886</t>
  </si>
  <si>
    <t>AMT/2005/page_85.pdf-1</t>
  </si>
  <si>
    <t>what was the increase in long-term debt between 2004 and 2005 in thousands?</t>
  </si>
  <si>
    <t>296048</t>
  </si>
  <si>
    <t>0</t>
  </si>
  <si>
    <t>derived_625c416886f8</t>
  </si>
  <si>
    <t>{"answer_type": "plain", "candidate_confidence": 0.740037333257897, "candidate_id": "derived_625c416886f8", "decision": "accepted", "evidence_claims": [{"base_value": "400000000", "canonical": "400000", "character_end": null, "character_start": null, "column_index": 1, "column_label": "2005", "currency": "USD", "evidence_id": "table:r3:c1:n0", "is_percent": false, "is_year": false, "metric_text": "Senior subordinated notes", "period": "2005", "raw_number": "400,000", "row_index": 3, "row_label": "Senior subordinated notes", "scale": "thousand", "sentence_index": null, "source_type": "table", "text": "Senior subordinated notes | 2005 | 400,000", "value": "400000"}, {"base_value": "400000000", "canonical": "400000", "character_end": null, "character_start": null, "column_index": 2, "column_label": "2004", "currency": "USD", "evidence_id": "table:r3:c2:n0", "is_percent": false, "is_year": false, "metric_text": "Senior subordinated notes", "period": "2004", "raw_number": "400,000", "row_index": 3, "row_label": "Senior subordinated notes", "scale": "thousand", "sentence_index": null, "source_type": "table", "text": "Senior subordinated notes | 2004 | 400,000", "value": "400000"}], "evidence_ids": ["table:r3:c1:n0", "table:r3:c2:n0"], "expression": "table:r3:c1:n0 - table:r3:c2:n0", "operation": "subtraction", "proof_type": "derived", "reason": "The complete answer has a valid question-conditioned provenance proof.", "response": "0"}</t>
  </si>
  <si>
    <t>Required evidence: table_10: the long-term debt of 2005 is $ 3451276 ; the long-term debt of 2004 is $ 3155228 ; Selected/output evidence: table:r3:c1:n0: table row 'Senior subordinated notes', column '2005' = 400000 | table:r3:c2:n0: table row 'Senior subordinated notes', column '2004' = 400000</t>
  </si>
  <si>
    <t>The correct operation was available, but the proof used the wrong value or row for one of the required roles. It selected table:r3:c1:n0: table row 'Senior subordinated notes', column '2005' = 400000 | table:r3:c2:n0: table row 'Senior subordinated notes', column '2004' = 400000 instead of using subtract(3451276, 3155228).</t>
  </si>
  <si>
    <t>FR-EDBDDDB0</t>
  </si>
  <si>
    <t>APTV/2014/page_49.pdf-2</t>
  </si>
  <si>
    <t>what was the percentage total return for delphi automotive plc for the five years ended december 31 2014?\\n</t>
  </si>
  <si>
    <t>250.82%</t>
  </si>
  <si>
    <t>Required evidence: table_1: company index the delphi automotive plc ( 1 ) of november 17 2011 is $ 100.00 ; the delphi automotive plc ( 1 ) of december 31 2011 is $ 100.98 ; the delphi automotive... Selected/output evidence: No accepted proof evidence (The system withheld an answer.).</t>
  </si>
  <si>
    <t>The correct candidate was available, but the system returned INSUFFICIENT_EVIDENCE instead of answering with 250.82%.</t>
  </si>
  <si>
    <t>FR-7954CF73</t>
  </si>
  <si>
    <t>ILMN/2007/page_78.pdf-2</t>
  </si>
  <si>
    <t>what was the percentage change in net income ( loss ) on a pro forma basis between 2006 and 2007?</t>
  </si>
  <si>
    <t>145%</t>
  </si>
  <si>
    <t>1%</t>
  </si>
  <si>
    <t>derived_b46cb1749b0a</t>
  </si>
  <si>
    <t>{"answer_type": "percentage", "candidate_confidence": 0.8406581222206405, "candidate_id": "derived_b46cb1749b0a", "decision": "accepted", "evidence_claims": [{"base_value": "320.00", "canonical": "0.32", "character_end": null, "character_start": null, "column_index": 1, "column_label": "Year Ended   December 30,   2007", "currency": "USD", "evidence_id": "table:r3:c1:n0", "is_percent": false, "is_year": false, "metric_text": "Net income (loss) per share, basic", "period": "2007", "raw_number": "$0.32", "row_index": 3, "row_label": "Net income (loss) per share, basic", "scale": "thousand", "sentence_index": null, "source_type": "table", "text": "Net income (loss) per share, basic | Year Ended   December 30,   2007 | $0.32", "value": "0.32"}, {"base_value": "-680.00", "canonical": "-0.68", "character_end": null, "character_start": null, "column_index": 2, "column_label": "Year Ended December 31, 2006", "currency": "USD", "evidence_id": "table:r3:c2:n0", "is_percent": false, "is_year": false, "metric_text": "Net income (loss) per share, basic", "period": "2006", "raw_number": "(0.68)", "row_index": 3, "row_label": "Net income (loss) per share, basic", "scale": "thousand", "sentence_index": null, "source_type": "table", "text": "Net income (loss) per share, basic | Year Ended December 31, 2006 | $(0.68)", "value": "-0.68"}], "evidence_ids": ["table:r3:c1:n0", "table:r3:c2:n0"], "expression": "table:r3:c1:n0 - table:r3:c2:n0", "operation": "subtraction", "proof_type": "derived", "reason": "The complete answer has a valid question-conditioned provenance proof.", "response": "1%"}</t>
  </si>
  <si>
    <t>Required evidence: table_2: the net income ( loss ) of year ended december 30 2007 is $ 17388 ; the net income ( loss ) of year ended december 31 2006 is $ -38957 ( 38957 ) ; Selected/output evidence: table:r3:c1:n0: table row 'Net income (loss) per share, basic', column 'Year Ended   December 30,   2007' = 0.32 | table:r3:c2:n0: table row 'Net income (loss) per share, basic', column 'Year Ended December 31, 2006' = -0.68</t>
  </si>
  <si>
    <t>The question required divide(subtract(17388, -38957), 38957), but the system treated it as difference. This produced '1%' rather than the requested calculation.</t>
  </si>
  <si>
    <t>FR-40FAEC40</t>
  </si>
  <si>
    <t>C/2017/page_328.pdf-3</t>
  </si>
  <si>
    <t>what was the difference in percentage cumulative total return for the five year period ended 31-dec-2017 of citi common stock and s&amp;p financials?</t>
  </si>
  <si>
    <t>-0.374</t>
  </si>
  <si>
    <t>Required evidence: table_1: date the 31-dec-2012 of citi is 100.0 ; the 31-dec-2012 of s&amp;p 500 is 100.0 ; the 31-dec-2012 of s&amp;p financials is 100.0 ; | table_6: date the 31-dec-2017 of citi is 193.5 ; the 31-dec-2017 of s&amp;p 500 is 208.1 ; the 31-dec-2017 of s&amp;p financials is 230.9 ; Selected/output evidence: No accepted proof evidence (The system withheld an answer.).</t>
  </si>
  <si>
    <t>The final candidate lattice did not contain the reference answer. The required calculation was subtract(divide(subtract(193.5, const_100), const_100), divide(subtract(230.9, const_100), const_100)), so the correct value could not be selected.</t>
  </si>
  <si>
    <t>FR-DD318C12</t>
  </si>
  <si>
    <t>AMT/2012/page_125.pdf-2</t>
  </si>
  <si>
    <t>for the mtn deal , what was the total post closing adjustments , in millions?</t>
  </si>
  <si>
    <t>$ 36.5 million</t>
  </si>
  <si>
    <t>derived_06f64229cb9f</t>
  </si>
  <si>
    <t>{"answer_type": "plain", "candidate_confidence": 0.8118073924952942, "candidate_id": "derived_06f64229cb9f", "decision": "accepted", "evidence_claims": [{"base_value": "29", "canonical": "29", "character_end": 11, "character_start": 8, "column_index": null, "column_label": null, "currency": "USD", "evidence_id": "text:s8:n0", "is_percent": false, "is_year": false, "metric_text": "on june 29 , 2012 , the joint venture acquired 962 communications sites for an aggregate purchase price of $ 171.5 million , subject to post-closing adjustments .", "period": "2012", "raw_number": "29", "row_index": null, "row_label": null, "scale": null, "sentence_index": 8, "source_type": "text", "text": "on june 29 , 2012 , the joint venture acquired 962 communications sites for an aggregate purchase price of $ 171.5 million , subject to post-closing adjustments .", "value": "29"}, {"base_value": "36500000.0", "canonical": "36.5", "character_end": 78, "character_start": 64, "column_index": null, "column_label": null, "currency": "USD", "evidence_id": "text:s13:n1", "is_percent": false, "is_year": false, "metric_text": "( 1 ) consists of customer-related intangibles of approximately $ 36.5 million and network location intangibles of approximately $ 27.0 million .", "period": null, "raw_number": "$ 36.5 million", "row_index": null, "row_label": null, "scale": "million", "sentence_index": 13, "source_type": "text", "text": "( 1 ) consists of customer-related intangibles of approximately $ 36.5 million and network location intangibles of approximately $ 27.0 million .", "value": "36.5"}], "evidence_ids": ["text:s8:n0", "text:s13:n1"], "expression": "text:s8:n0 + text:s13:n1", "operation": "addition", "proof_type": "derived", "reason": "The complete answer has a valid question-conditioned provenance proof.", "response": "$ 36.5 million"}</t>
  </si>
  <si>
    <t>Required evidence: text_8: on june 29 , 2012 , the joint venture acquired 962 communications sites for an aggregate purchase price of $ 171.5 million , subject to post-closing adjustments . | text_9: the aggregate purchase price was subsequently increased to $ 173.2 million , subject to future post-closing adjustments . Selected/output evidence: text:s8:n0: text value 29 for 2012 (on june 29 , 2012 , the joint venture acquired 962 communications sites for an aggregat...) | text:s13:n1: text value 36.5 (( 1 ) consists of customer-related intangibles of approximately $ 36.5 million and netw...)</t>
  </si>
  <si>
    <t>The question required subtract(173.2, 171.5), but the system treated it as sum. This produced '$ 36.5 million' rather than the requested calculation.</t>
  </si>
  <si>
    <t>FR-ABC66A6A</t>
  </si>
  <si>
    <t>IPG/2008/page_62.pdf-4</t>
  </si>
  <si>
    <t>what is the percentage decrease in total liability from dec 31 2007 to dec 31 2008?</t>
  </si>
  <si>
    <t>56.75%</t>
  </si>
  <si>
    <t>0.0498%</t>
  </si>
  <si>
    <t>derived_3c67875f9388</t>
  </si>
  <si>
    <t>{"answer_type": "percentage", "candidate_confidence": 0.7597888353394291, "candidate_id": "derived_3c67875f9388", "decision": "accepted", "evidence_claims": [{"base_value": "2008000000", "canonical": "2008", "character_end": null, "character_start": null, "column_index": 0, "column_label": null, "currency": "USD", "evidence_id": "table:r7:c0:n1", "is_percent": false, "is_year": false, "metric_text": "Liability at December 31, 2008", "period": "2008", "raw_number": "2008", "row_index": 7, "row_label": "Liability at December 31, 2008", "scale": "million", "sentence_index": null, "source_type": "table", "text": "Liability at December 31, 2008 |  | Liability at December 31, 2008", "value": "2008"}, {"base_value": "2007000000", "canonical": "2007", "character_end": null, "character_start": null, "column_index": 0, "column_label": null, "currency": "USD", "evidence_id": "table:r4:c0:n1", "is_percent": false, "is_year": false, "metric_text": "Liability at December 31, 2007", "period": "2007", "raw_number": "2007", "row_index": 4, "row_label": "Liability at December 31, 2007", "scale": "million", "sentence_index": null, "source_type": "table", "text": "Liability at December 31, 2007 |  | Liability at December 31, 2007", "value": "2007"}], "evidence_ids": ["table:r7:c0:n1", "table:r4:c0:n1"], "expression": "((table:r7:c0:n1 - table:r4:c0:n1) / table:r4:c0:n1) * 100", "operation": "percentage_change", "proof_type": "derived", "reason": "The complete answer has a valid question-conditioned provenance proof.", "response": "0.0498%"}</t>
  </si>
  <si>
    <t>Required evidence: table_4: the liability at december 31 2007 of 2007 program is $ 11.9 ; the liability at december 31 2007 of 2003 program is $ 9.0 ; the liability at december 31 2007 of 2001 pr... | table_7: the liability at december 31 2008 of 2007 program is $ 1.2 ; the liability at december 31 2008 of 2003 program is $ 5.7 ; the liability at december 31 2008 of 2001 pro... | text_0: notes to consolidated financial statements 2014 ( continued ) ( amounts in millions , except per share amounts ) a summary of the remaining liability for the 2007 , 20... Selected/output evidence: table:r7:c0:n1: table row 'Liability at December 31, 2008', period 2008 = 2008 | table:r4:c0:n1: table row 'Liability at December 31, 2007', period 2007 = 2007</t>
  </si>
  <si>
    <t>A date, footnote marker, range label or another nearby number was parsed as an operand. This prevented the correct calculation multiply(divide(subtract(29.6, 12.8), 29.6), const_100).</t>
  </si>
  <si>
    <t>FR-E7381ADF</t>
  </si>
  <si>
    <t>CB/2010/page_200.pdf-3</t>
  </si>
  <si>
    <t>what was the average potential anti-dilutive share conversions from 2008 to 2010</t>
  </si>
  <si>
    <t>708716.6</t>
  </si>
  <si>
    <t>638401</t>
  </si>
  <si>
    <t>direct_237e11169a79</t>
  </si>
  <si>
    <t>{"answer_type": "plain", "candidate_confidence": 0.6462118694503592, "candidate_id": "direct_237e11169a79", "decision": "accepted", "evidence_claims": [{"base_value": "638401", "canonical": "638401", "character_end": 153, "character_start": 147, "column_index": null, "column_label": null, "currency": null, "evidence_id": "text:s1:n6", "is_percent": false, "is_year": false, "metric_text": "for the years ended december 31 , 2010 , 2009 , and 2008 , the potential anti-dilutive share conversions were 256868 shares , 1230881 shares , and 638401 shares , respectively .", "period": "2010", "raw_number": "638401", "row_index": null, "row_label": null, "scale": null, "sentence_index": 1, "source_type": "text", "text": "for the years ended december 31 , 2010 , 2009 , and 2008 , the potential anti-dilutive share conversions were 256868 shares , 1230881 shares , and 638401 shares , respectively .", "value": "638401"}], "evidence_ids": ["text:s1:n6"], "expression": "text:s1:n6", "operation": "lookup", "proof_type": "direct", "reason": "The complete answer has a valid question-conditioned provenance proof.", "response": "638401"}</t>
  </si>
  <si>
    <t>annotation_issue</t>
  </si>
  <si>
    <t>Required evidence: text_1: for the years ended december 31 , 2010 , 2009 , and 2008 , the potential anti-dilutive share conversions were 256868 shares , 1230881 shares , and 638401 shares , resp... Selected/output evidence: text:s1:n6: text value 638401 for 2010 (for the years ended december 31 , 2010 , 2009 , and 2008 , the potential anti-dilutive ...)</t>
  </si>
  <si>
    <t>The source values and the stored FinQA answer or program are not fully consistent. The case needs to be treated as a dataset annotation issue rather than a clean model error.</t>
  </si>
  <si>
    <t>Low</t>
  </si>
  <si>
    <t>Required</t>
  </si>
  <si>
    <t>FR-C4B9E978</t>
  </si>
  <si>
    <t>SNA/2012/page_33.pdf-2</t>
  </si>
  <si>
    <t>what is the roi of s&amp;p 500 from 2007 to 2012?</t>
  </si>
  <si>
    <t>8.59%</t>
  </si>
  <si>
    <t>108.59</t>
  </si>
  <si>
    <t>direct_f7304ccd53af</t>
  </si>
  <si>
    <t>{"answer_type": "percentage", "candidate_confidence": 0.6183984447312756, "candidate_id": "direct_f7304ccd53af", "decision": "accepted", "evidence_claims": [{"base_value": "108.59", "canonical": "108.59", "character_end": null, "character_start": null, "column_index": 3, "column_label": "S&amp;P 500", "currency": "USD", "evidence_id": "table:r6:c3:n0", "is_percent": false, "is_year": false, "metric_text": "December 31, 2012", "period": "2012", "raw_number": "108.59", "row_index": 6, "row_label": "December 31, 2012", "scale": null, "sentence_index": null, "source_type": "table", "text": "December 31, 2012 | S&amp;P 500 | 108.59", "value": "108.59"}], "evidence_ids": ["table:r6:c3:n0"], "expression": "table:r6:c3:n0", "operation": "lookup", "proof_type": "direct", "reason": "The complete answer has a valid question-conditioned provenance proof.", "response": "108.59"}</t>
  </si>
  <si>
    <t>Required evidence: table_1: fiscal year ended ( 2 ) the december 31 2007 of snap-onincorporated is $ 100.00 ; the december 31 2007 of peer group ( 3 ) is $ 100.00 ; the december 31 2007 of s&amp;p 50... | table_2: fiscal year ended ( 2 ) the december 31 2008 of snap-onincorporated is 83.66 ; the december 31 2008 of peer group ( 3 ) is 66.15 ; the december 31 2008 of s&amp;p 500 is 6... | table_3: fiscal year ended ( 2 ) the december 31 2009 of snap-onincorporated is 93.20 ; the december 31 2009 of peer group ( 3 ) is 84.12 ; the december 31 2009 of s&amp;p 500 is 7... | table_4: fiscal year ended ( 2 ) the december 31 2010 of snap-onincorporated is 128.21 ; the december 31 2010 of peer group ( 3 ) is 112.02 ; the december 31 2010 of s&amp;p 500 is... | table_5: fiscal year ended ( 2 ) the december 31 2011 of snap-onincorporated is 117.47 ; the december 31 2011 of peer group ( 3 ) is 109.70 ; the december 31 2011 of s&amp;p 500 is... | table_6: fiscal year ended ( 2 ) the december 31 2012 of snap-onincorporated is 187.26 ; the december 31 2012 of peer group ( 3 ) is 129.00 ; the december 31 2012 of s&amp;p 500 is... Selected/output evidence: table:r6:c3:n0: table row 'December 31, 2012', column 'S&amp;P 500', period 2012 = 108.59</t>
  </si>
  <si>
    <t>The question required divide(subtract(108.59, const_100), const_100), but the system treated it as direct_lookup. This produced '108.59' rather than the requested calculation.</t>
  </si>
  <si>
    <t>FR-9AFFEF93</t>
  </si>
  <si>
    <t>GS/2013/page_152.pdf-3</t>
  </si>
  <si>
    <t>in millions , for 2013 , 2012 , and 2011 , what was average currency hedges?</t>
  </si>
  <si>
    <t>29</t>
  </si>
  <si>
    <t>Required evidence: table_1: in millions the currency hedges of year ended december 2013 is $ 150 ; the currency hedges of year ended december 2012 is $ -233 ( 233 ) ; the currency hedges of year ... Selected/output evidence: No accepted proof evidence (The system withheld an answer.).</t>
  </si>
  <si>
    <t>FR-B0B72B7E</t>
  </si>
  <si>
    <t>SYY/2019/page_9.pdf-1</t>
  </si>
  <si>
    <t>what was the change in the percentage of sales to restaurants from 2017 to 2018?</t>
  </si>
  <si>
    <t>Required evidence: table_1: type of customer the restaurants of 2019 is 62% ( 62 % ) ; the restaurants of 2018 is 62% ( 62 % ) ; the restaurants of 2017 is 61% ( 61 % ) ; Selected/output evidence: No accepted proof evidence (The system withheld an answer.).</t>
  </si>
  <si>
    <t>The correct candidate was available, but the system returned INSUFFICIENT_EVIDENCE instead of answering with 1%.</t>
  </si>
  <si>
    <t>FR-E9DE1307</t>
  </si>
  <si>
    <t>INTC/2013/page_29.pdf-3</t>
  </si>
  <si>
    <t>what is the percent of the square feet in owned facilities in other countries?</t>
  </si>
  <si>
    <t>35.8%</t>
  </si>
  <si>
    <t>6%</t>
  </si>
  <si>
    <t>direct_8f0f880b71d0</t>
  </si>
  <si>
    <t>{"answer_type": "percentage", "candidate_confidence": 0.9036198822455562, "candidate_id": "direct_8f0f880b71d0", "decision": "accepted", "evidence_claims": [{"base_value": "6000000.0", "canonical": "6", "character_end": 191, "character_start": 188, "column_index": null, "column_label": null, "currency": null, "evidence_id": "text:s3:n6", "is_percent": false, "is_year": false, "metric_text": "properties as of december 28 , 2013 , our major facilities consisted of : ( square feet in millions ) united states countries total owned facilities1 29.9 16.7 46.6 leased facilities2 2.3 6.0 8.3 .", "period": "2013", "raw_number": "6.0", "row_index": null, "row_label": null, "scale": "million", "sentence_index": 3, "source_type": "text", "text": "properties as of december 28 , 2013 , our major facilities consisted of : ( square feet in millions ) united states countries total owned facilities1 29.9 16.7 46.6 leased facilities2 2.3 6.0 8.3 .", "value": "6.0"}], "evidence_ids": ["text:s3:n6"], "expression": "text:s3:n6", "operation": "lookup", "proof_type": "direct", "reason": "The complete answer has a valid question-conditioned provenance proof.", "response": "6%"}</t>
  </si>
  <si>
    <t>retrieval_wrong_metric</t>
  </si>
  <si>
    <t>Required evidence: table_1: ( square feet in millions ) the owned facilities1 of unitedstates is 29.9 ; the owned facilities1 of othercountries is 16.7 ; the owned facilities1 of total is 46.6 ; Selected/output evidence: text:s3:n6: text value 6 for 2013 (properties as of december 28 , 2013 , our major facilities consisted of : ( square feet...)</t>
  </si>
  <si>
    <t>The selected evidence came from the wrong metric or table row. The question needed divide(16.7, 46.6), but the response was based on text:s3:n6: text value 6 for 2013 (properties as of december 28 , 2013 , our major facilities consisted of : ( square feet...).</t>
  </si>
  <si>
    <t>FR-DB04728B</t>
  </si>
  <si>
    <t>UNP/2013/page_44.pdf-2</t>
  </si>
  <si>
    <t>what was the net change in the number of environmental sites from 2011 to 2012?</t>
  </si>
  <si>
    <t>-1</t>
  </si>
  <si>
    <t>%</t>
  </si>
  <si>
    <t>{"answer_type": null, "candidate_confidence": null, "candidate_id": null, "decision": "rejected", "evidence_claims": [], "evidence_ids": [], "expression": null, "operation": null, "proof_type": null, "reason": "The response is not a complete single numeric answer.", "response": "%"}</t>
  </si>
  <si>
    <t>Required evidence: table_4: the open sites ending balance atdecember 31 of 2013 is 268 ; the open sites ending balance atdecember 31 of 2012 is 284 ; the open sites ending balance atdecember 31 o... Selected/output evidence: No accepted proof evidence (The response is not a complete single numeric answer.).</t>
  </si>
  <si>
    <t>The output was not a complete single numeric answer. It returned '%', so it could not be evaluated as a valid response.</t>
  </si>
  <si>
    <t>FR-8C1D98B3</t>
  </si>
  <si>
    <t>GS/2012/page_165.pdf-1</t>
  </si>
  <si>
    <t>what percentage of total other assets in 2012 was comprised of goodwill and identifiable intangible assets?</t>
  </si>
  <si>
    <t>13%</t>
  </si>
  <si>
    <t>5%</t>
  </si>
  <si>
    <t>derived_d7b5c9175060</t>
  </si>
  <si>
    <t>{"answer_type": "percentage", "candidate_confidence": 0.5557742036144611, "candidate_id": "derived_d7b5c9175060", "decision": "accepted", "evidence_claims": [{"base_value": "2", "canonical": "2", "character_end": null, "character_start": null, "column_index": 0, "column_label": null, "currency": "USD", "evidence_id": "table:r3:c0:n0", "is_percent": false, "is_year": false, "metric_text": "Goodwill and identifiable intangibleassets&lt;sup&gt;2&lt;/sup&gt;", "period": null, "raw_number": "2", "row_index": 3, "row_label": "Goodwill and identifiable intangibleassets&lt;sup&gt;2&lt;/sup&gt;", "scale": null, "sentence_index": null, "source_type": "table", "text": "Goodwill and identifiable intangibleassets&lt;sup&gt;2&lt;/sup&gt; |  | Goodwill and identifiable intangibleassets&lt;sup&gt;2&lt;/sup&gt;", "value": "2"}, {"base_value": "3", "canonical": "3", "character_end": null, "character_start": null, "column_index": 0, "column_label": null, "currency": "USD", "evidence_id": "table:r4:c0:n0", "is_percent": false, "is_year": false, "metric_text": "Income tax-related assets&lt;sup&gt;3&lt;/sup&gt;", "period": null, "raw_number": "3", "row_index": 4, "row_label": "Income tax-related assets&lt;sup&gt;3&lt;/sup&gt;", "scale": null, "sentence_index": null, "source_type": "table", "text": "Income tax-related assets&lt;sup&gt;3&lt;/sup&gt; |  | Income tax-related assets&lt;sup&gt;3&lt;/sup&gt;", "value": "3"}], "evidence_ids": ["table:r3:c0:n0", "table:r4:c0:n0"], "expression": "table:r3:c0:n0 + table:r4:c0:n0", "operation": "addition", "proof_type": "derived", "reason": "The complete answer has a valid question-conditioned provenance proof.", "response": "5%"}</t>
  </si>
  <si>
    <t>Required evidence: table_2: in millions the goodwill and identifiable intangibleassets2 of as of december 2012 is 5099 ; the goodwill and identifiable intangibleassets2 of as of december 2011 is ... | table_6: in millions the total of as of december 2012 is $ 39623 ; the total of as of december 2011 is $ 23152 ; Selected/output evidence: table:r3:c0:n0: table row 'Goodwill and identifiable intangibleassets&lt;sup&gt;2&lt;/sup&gt;' = 2 | table:r4:c0:n0: table row 'Income tax-related assets&lt;sup&gt;3&lt;/sup&gt;' = 3</t>
  </si>
  <si>
    <t>A date, footnote marker, range label or another nearby number was parsed as an operand. This prevented the correct calculation divide(5099, 39623).</t>
  </si>
  <si>
    <t>FR-63A0A275</t>
  </si>
  <si>
    <t>MRO/2009/page_139.pdf-2</t>
  </si>
  <si>
    <t>what was highest net rental expense in millions?</t>
  </si>
  <si>
    <t>267</t>
  </si>
  <si>
    <t>Required evidence: table_3: ( in millions ) the net rental expense of 2009 is $ 257 ; the net rental expense of 2008 is $ 267 ; the net rental expense of 2007 is $ 242 ; Selected/output evidence: No accepted proof evidence (The system withheld an answer.).</t>
  </si>
  <si>
    <t>The correct candidate was available, but the system returned INSUFFICIENT_EVIDENCE instead of answering with 267.</t>
  </si>
  <si>
    <t>FR-4F4D7003</t>
  </si>
  <si>
    <t>MRO/2004/page_36.pdf-2</t>
  </si>
  <si>
    <t>what were total heavy fuel oil sales in tbd for the three year period?</t>
  </si>
  <si>
    <t>71</t>
  </si>
  <si>
    <t>1400</t>
  </si>
  <si>
    <t>direct_50d0ca6cdb6e</t>
  </si>
  <si>
    <t>{"answer_type": "plain", "candidate_confidence": 0.17616988380517293, "candidate_id": "direct_50d0ca6cdb6e", "decision": "accepted", "evidence_claims": [{"base_value": "1400", "canonical": "1400", "character_end": null, "character_start": null, "column_index": 1, "column_label": "2004", "currency": null, "evidence_id": "table:r7:c1:n0", "is_percent": false, "is_year": false, "metric_text": "TOTAL", "period": "2004", "raw_number": "1,400", "row_index": 7, "row_label": "TOTAL", "scale": null, "sentence_index": null, "source_type": "table", "text": "TOTAL | 2004 | 1,400", "value": "1400"}], "evidence_ids": ["table:r7:c1:n0"], "expression": "table:r7:c1:n0", "operation": "lookup", "proof_type": "direct", "reason": "The complete answer has a valid question-conditioned provenance proof.", "response": "1400"}</t>
  </si>
  <si>
    <t>Required evidence: table_5: ( thousands of barrels per day ) the heavy fuel oil of 2004 is 27 ; the heavy fuel oil of 2003 is 24 ; the heavy fuel oil of 2002 is 20 ; Selected/output evidence: table:r7:c1:n0: table row 'TOTAL', column '2004' = 1400</t>
  </si>
  <si>
    <t>The selected evidence came from the wrong metric or table row. The question needed table_sum(heavy fuel oil, none), but the response was based on table:r7:c1:n0: table row 'TOTAL', column '2004' = 1400.</t>
  </si>
  <si>
    <t>FR-CE40073E</t>
  </si>
  <si>
    <t>BDX/2018/page_82.pdf-3</t>
  </si>
  <si>
    <t>what is the average cost of interest , in millions , for 2016-2018?</t>
  </si>
  <si>
    <t>74.33</t>
  </si>
  <si>
    <t>Required evidence: table_2: ( millions of dollars ) the interest cost of pension plans 2018 is 90 ; the interest cost of pension plans 2017 is 61 ; the interest cost of pension plans 2016 is 72 ; | text_4: pension plan was frozen to limit the participation of employees who are hired or re-hired by the company , or who transfer employment to the company , on or after janu... Selected/output evidence: No accepted proof evidence (The system withheld an answer.).</t>
  </si>
  <si>
    <t>The final candidate lattice did not contain the reference answer. The required calculation was divide(add(add(90, 61), 72), const_3), so the correct value could not be selected.</t>
  </si>
  <si>
    <t>FR-DB83480A</t>
  </si>
  <si>
    <t>ETR/2017/page_114.pdf-2</t>
  </si>
  <si>
    <t>what are the payments for entergy arkansas as a percentage of payments for entergy louisiana?</t>
  </si>
  <si>
    <t>33.3%</t>
  </si>
  <si>
    <t>Required evidence: table_1: the entergy arkansas of payments ( receipts ) ( in millions ) is $ 2 ; | table_2: the entergy louisiana of payments ( receipts ) ( in millions ) is $ 6 ; | text_0: payments ( receipts ) ( in millions ) . Selected/output evidence: No accepted proof evidence (The response is not a complete single numeric answer.).</t>
  </si>
  <si>
    <t>FR-14C86C3A</t>
  </si>
  <si>
    <t>FR-89AD7D3D</t>
  </si>
  <si>
    <t>ABMD/2004/page_26.pdf-1</t>
  </si>
  <si>
    <t>for the facility leases that have remaining terms through fiscal 2010 , assuming the annual rent is approximately that of 2003 , what is the remaining total obligation?</t>
  </si>
  <si>
    <t>4926000</t>
  </si>
  <si>
    <t>821000</t>
  </si>
  <si>
    <t>direct_ce7bdca19220</t>
  </si>
  <si>
    <t>{"answer_type": "plain", "candidate_confidence": 0.7543325200595732, "candidate_id": "direct_ce7bdca19220", "decision": "accepted", "evidence_claims": [{"base_value": "821000", "canonical": "821000", "character_end": 159, "character_start": 151, "column_index": null, "column_label": null, "currency": "USD", "evidence_id": "text:s24:n2", "is_percent": false, "is_year": false, "metric_text": "total rent expense under these leases , included in the accompanying consolidated statements of operations , was approximately $ 856000 , $ 823000 and $ 821000 for the fiscal years ended march 31 , 2002 , 2003 and 2004 , respectively .", "period": "2002", "raw_number": "$ 821000", "row_index": null, "row_label": null, "scale": null, "sentence_index": 24, "source_type": "text", "text": "total rent expense under these leases , included in the accompanying consolidated statements of operations , was approximately $ 856000 , $ 823000 and $ 821000 for the fiscal years ended march 31 , 2002 , 2003 and 2004 , respectively .", "value": "821000"}], "evidence_ids": ["text:s24:n2"], "expression": "text:s24:n2", "operation": "lookup", "proof_type": "direct", "reason": "The complete answer has a valid question-conditioned provenance proof.", "response": "821000"}</t>
  </si>
  <si>
    <t>Required evidence: text_22: as of march 31 , 2004 , the company had entered into leases for its facilities , including its primary operating facility in danvers , massachusetts , with terms throu... | text_27: rental expense recorded for these leases during the fiscal years ended march 31 , 2002 and 2003 was approximately $ 215000 and $ 127000 respectively . | text_24: total rent expense under these leases , included in the accompanying consolidated statements of operations , was approximately $ 856000 , $ 823000 and $ 821000 for the... Selected/output evidence: text:s24:n2: text value 821000 for 2002 (total rent expense under these leases , included in the accompanying consolidated state...)</t>
  </si>
  <si>
    <t>The final candidate lattice did not contain the reference answer. The required calculation was multiply(821000, subtract(2010, 2004)), so the correct value could not be selected.</t>
  </si>
  <si>
    <t>FR-9A801D83</t>
  </si>
  <si>
    <t>CDNS/2012/page_30.pdf-2</t>
  </si>
  <si>
    <t>what was the difference in percentage cumulative 5-year total stockholder return for cadence design systems inc . compared to the nasdaq composite for the five years ended 12/29/2012?</t>
  </si>
  <si>
    <t>-31.86</t>
  </si>
  <si>
    <t>78.92</t>
  </si>
  <si>
    <t>derived_6ba1821db34f</t>
  </si>
  <si>
    <t>{"answer_type": "percentage", "candidate_confidence": 0.7717916273599899, "candidate_id": "derived_6ba1821db34f", "decision": "accepted", "evidence_claims": [{"base_value": "78.92", "canonical": "78.92", "character_end": null, "character_start": null, "column_index": 6, "column_label": "12/29/2012", "currency": null, "evidence_id": "table:r1:c6:n0", "is_percent": false, "is_year": false, "metric_text": "Cadence Design Systems, Inc.", "period": "2012", "raw_number": "78.92", "row_index": 1, "row_label": "Cadence Design Systems, Inc.", "scale": null, "sentence_index": null, "source_type": "table", "text": "Cadence Design Systems, Inc. | 12/29/2012 | 78.92", "value": "78.92"}, {"base_value": "100.00", "canonical": "100", "character_end": null, "character_start": null, "column_index": 1, "column_label": "12/29/2007", "currency": null, "evidence_id": "table:r1:c1:n0", "is_percent": false, "is_year": false, "metric_text": "Cadence Design Systems, Inc.", "period": "2007", "raw_number": "100.00", "row_index": 1, "row_label": "Cadence Design Systems, Inc.", "scale": null, "sentence_index": null, "source_type": "table", "text": "Cadence Design Systems, Inc. | 12/29/2007 | 100.00", "value": "100.00"}], "evidence_ids": ["table:r1:c6:n0", "table:r1:c1:n0"], "expression": "(table:r1:c6:n0 / table:r1:c1:n0) * 100", "operation": "division", "proof_type": "derived", "reason": "The complete answer has a valid question-conditioned provenance proof.", "response": "78.92"}</t>
  </si>
  <si>
    <t>Required evidence: table_1: the cadence design systems inc . of 12/29/2007 is 100.00 ; the cadence design systems inc . of 1/3/2009 is 22.55 ; the cadence design systems inc . of 1/2/2010 is 35.1... | table_2: the nasdaq composite of 12/29/2007 is 100.00 ; the nasdaq composite of 1/3/2009 is 59.03 ; the nasdaq composite of 1/2/2010 is 82.25 ; the nasdaq composite of 1/1/2011... Selected/output evidence: table:r1:c6:n0: table row 'Cadence Design Systems, Inc.', column '12/29/2012' = 78.92 | table:r1:c1:n0: table row 'Cadence Design Systems, Inc.', column '12/29/2007' = 100</t>
  </si>
  <si>
    <t>The question required subtract(subtract(78.92, const_100), subtract(110.78, const_100)), but the system treated it as ratio. This produced '78.92' rather than the requested calculation.</t>
  </si>
  <si>
    <t>FR-40502ABC</t>
  </si>
  <si>
    <t>MAS/2018/page_60.pdf-1</t>
  </si>
  <si>
    <t>what are the total current assets of kichler included in the acquisition price with the revised version?</t>
  </si>
  <si>
    <t>273</t>
  </si>
  <si>
    <t>9</t>
  </si>
  <si>
    <t>direct_381e04845d03</t>
  </si>
  <si>
    <t>{"answer_type": "plain", "candidate_confidence": 0.4734808803410622, "candidate_id": "direct_381e04845d03", "decision": "accepted", "evidence_claims": [{"base_value": "9", "canonical": "9", "character_end": 24, "character_start": 22, "column_index": null, "column_label": null, "currency": null, "evidence_id": "text:s1:n0", "is_percent": false, "is_year": false, "metric_text": "acquisitions on march 9 , 2018 , we acquired substantially all of the net assets of the l.d .", "period": "2018", "raw_number": "9", "row_index": null, "row_label": null, "scale": null, "sentence_index": 1, "source_type": "text", "text": "acquisitions on march 9 , 2018 , we acquired substantially all of the net assets of the l.d .", "value": "9"}], "evidence_ids": ["text:s1:n0"], "expression": "text:s1:n0", "operation": "lookup", "proof_type": "direct", "reason": "The complete answer has a valid question-conditioned provenance proof.", "response": "9"}</t>
  </si>
  <si>
    <t>Required evidence: table_1: the receivables of initial is $ 101 ; the receivables of revised is $ 100 ; | table_2: the inventories of initial is 173 ; the inventories of revised is 166 ; | table_3: the prepaid expenses and other of initial is 5 ; the prepaid expenses and other of revised is 5 ; | text_1: acquisitions on march 9 , 2018 , we acquired substantially all of the net assets of the l.d . Selected/output evidence: text:s1:n0: text value 9 for 2018 (acquisitions on march 9 , 2018 , we acquired substantially all of the net assets of the...)</t>
  </si>
  <si>
    <t>The final candidate lattice did not contain the reference answer. The required calculation was add(add(add(const_2, 100), 166), 5), so the correct value could not be selected.</t>
  </si>
  <si>
    <t>FR-87371F04</t>
  </si>
  <si>
    <t>FR-90C1A7EA</t>
  </si>
  <si>
    <t>STT/2009/page_73.pdf-2</t>
  </si>
  <si>
    <t>what is the amortized cost as a percent of the fair value of the securities in 2009?</t>
  </si>
  <si>
    <t>103%</t>
  </si>
  <si>
    <t>Required evidence: table_1: ( in millions ) the fair value of 2009 is $ 72699 ; the fair value of 2008 is $ 54163 ; | table_2: ( in millions ) the amortized cost of 2009 is 74843 ; the amortized cost of 2008 is 60786 ; | text_0: impairment net unrealized losses on securities available for sale were as follows as of december 31: . Selected/output evidence: No accepted proof evidence (The system withheld an answer.).</t>
  </si>
  <si>
    <t>The correct candidate was available, but the system returned INSUFFICIENT_EVIDENCE instead of answering with 103%.</t>
  </si>
  <si>
    <t>FR-84BBC11B</t>
  </si>
  <si>
    <t>MRO/2009/page_56.pdf-2</t>
  </si>
  <si>
    <t>what was the spread between the high and low henry hub natural gas ( dollars per mcf ) in 2009?</t>
  </si>
  <si>
    <t>45.38</t>
  </si>
  <si>
    <t>a ) $ 3.99 $ 9.04 $ 6.86 ( a ) first-of-month price</t>
  </si>
  <si>
    <t>{"answer_type": null, "candidate_confidence": null, "candidate_id": null, "decision": "rejected", "evidence_claims": [], "evidence_ids": [], "expression": null, "operation": null, "proof_type": null, "reason": "The response is not a complete single numeric answer.", "response": "a ) $ 3.99 $ 9.04 $ 6.86 ( a ) first-of-month price"}</t>
  </si>
  <si>
    <t>Required evidence: text_24: the price decrease continued into 2009 , but reversed after dropping below $ 33.98 in february , ending the year at $ 79.36 . Selected/output evidence: No accepted proof evidence (The response is not a complete single numeric answer.).</t>
  </si>
  <si>
    <t>The output was not a complete single numeric answer. It returned 'a ) $ 3.99 $ 9.04 $ 6.86 ( a ) first-of-month price', so it could not be evaluated as a valid response.</t>
  </si>
  <si>
    <t>FR-1DC8A08C</t>
  </si>
  <si>
    <t>LMT/2013/page_74.pdf-4</t>
  </si>
  <si>
    <t>what was the change in the weighted average common shares outstanding for diluted computations from 2012 to 2013 , in millions?</t>
  </si>
  <si>
    <t>-1.9</t>
  </si>
  <si>
    <t>Required evidence: table_3: the weighted average common shares outstanding for diluted computations of 2013 is 326.5 ; the weighted average common shares outstanding for diluted computations of 2... Selected/output evidence: No accepted proof evidence (The response is not a complete single numeric answer.).</t>
  </si>
  <si>
    <t>FR-F8A52CD8</t>
  </si>
  <si>
    <t>IPG/2008/page_21.pdf-3</t>
  </si>
  <si>
    <t>what was the average price per share from november to december?</t>
  </si>
  <si>
    <t>3.61</t>
  </si>
  <si>
    <t>Required evidence: table_2: the november 1-30 of total number of shares purchased is 4468 ; the november 1-30 of average price paid per share2 is $ 3.24 ; the november 1-30 of total number of sha... | table_3: the december 1-31 of total number of shares purchased is 12850 ; the december 1-31 of average price paid per share2 is $ 3.98 ; the december 1-31 of total number of sh... | text_0: repurchase of equity securities the following table provides information regarding our purchases of equity securities during the fourth quarter of 2008 : number of sha... Selected/output evidence: No accepted proof evidence (The system withheld an answer.).</t>
  </si>
  <si>
    <t>Not all values needed for divide(add(3.24, 3.98), const_2) were retained in the retrieved evidence, so the correct candidate was not built.</t>
  </si>
  <si>
    <t>FR-199565CD</t>
  </si>
  <si>
    <t>IP/2006/page_32.pdf-4</t>
  </si>
  <si>
    <t>what was the consumer packaging profit margin in 2006</t>
  </si>
  <si>
    <t>5.3%</t>
  </si>
  <si>
    <t>Required evidence: table_1: in millions the sales of 2006 is $ 2455 ; the sales of 2005 is $ 2245 ; the sales of 2004 is $ 2295 ; | table_2: in millions the operating profit of 2006 is $ 131 ; the operating profit of 2005 is $ 121 ; the operating profit of 2004 is $ 155 ; Selected/output evidence: No accepted proof evidence (The system withheld an answer.).</t>
  </si>
  <si>
    <t>The final candidate lattice did not contain the reference answer. The required calculation was divide(131, 2455), so the correct value could not be selected.</t>
  </si>
  <si>
    <t>FR-72FAFAAE</t>
  </si>
  <si>
    <t>FR-549C16F0</t>
  </si>
  <si>
    <t>AMT/2005/page_105.pdf-2</t>
  </si>
  <si>
    <t>what is the total value of net operating loss carryforwards?</t>
  </si>
  <si>
    <t>4575515</t>
  </si>
  <si>
    <t>Required evidence: table_5: years ended december 31 , the total of federal is $ 2157503 ; the total of state is $ 2418012 ; Selected/output evidence: No accepted proof evidence (The system withheld an answer.).</t>
  </si>
  <si>
    <t>The correct candidate was available, but the system returned INSUFFICIENT_EVIDENCE instead of answering with 4575515.</t>
  </si>
  <si>
    <t>FR-A7FE9580</t>
  </si>
  <si>
    <t>ABMD/2006/page_75.pdf-4</t>
  </si>
  <si>
    <t>what percentage of total future minimum lease payments are due in 2009?</t>
  </si>
  <si>
    <t>21%</t>
  </si>
  <si>
    <t>0.0055%</t>
  </si>
  <si>
    <t>derived_b92147ca5958</t>
  </si>
  <si>
    <t>{"answer_type": "percentage", "candidate_confidence": 0.3571397805234813, "candidate_id": "derived_b92147ca5958", "decision": "accepted", "evidence_claims": [{"base_value": "45", "canonical": "45", "character_end": 3, "character_start": 0, "column_index": null, "column_label": null, "currency": null, "evidence_id": "text:s16:n0", "is_percent": false, "is_year": false, "metric_text": "45 , intellectual property indemnifications require disclosure only .", "period": null, "raw_number": "45", "row_index": null, "row_label": null, "scale": null, "sentence_index": 16, "source_type": "text", "text": "45 , intellectual property indemnifications require disclosure only .", "value": "45"}, {"base_value": "821000", "canonical": "821000", "character_end": 129, "character_start": 120, "column_index": null, "column_label": null, "currency": "USD", "evidence_id": "text:s21:n0", "is_percent": false, "is_year": false, "metric_text": "total rent expense under these leases , included in the accompanying consolidated statements of operations approximated $ 821000 , $ 824000 and $ 1262000 for the fiscal years ended march 31 , 2004 , 2005 and 2006 , respectively .", "period": "2004", "raw_number": "$ 821000", "row_index": null, "row_label": null, "scale": null, "sentence_index": 21, "source_type": "text", "text": "total rent expense under these leases , included in the accompanying consolidated statements of operations approximated $ 821000 , $ 824000 and $ 1262000 for the fiscal years ended march 31 , 2004 , 2005 and 2006 , respectively .", "value": "821000"}], "evidence_ids": ["text:s16:n0", "text:s21:n0"], "expression": "(text:s16:n0 / text:s21:n0) * 100", "operation": "margin", "proof_type": "derived", "reason": "The complete answer has a valid question-conditioned provenance proof.", "response": "0.0055%"}</t>
  </si>
  <si>
    <t>Required evidence: table_3: fiscal year ending march 31 , the 2009 of operating leases is 1035 ; | table_5: fiscal year ending march 31 , the total future minimum lease payments of operating leases is $ 4819 ; Selected/output evidence: text:s16:n0: text value 45 (45 , intellectual property indemnifications require disclosure only .) | text:s21:n0: text value 821000 for 2004 (total rent expense under these leases , included in the accompanying consolidated state...)</t>
  </si>
  <si>
    <t>The final candidate lattice did not contain the reference answer. The required calculation was divide(1035, 4819), so the correct value could not be selected.</t>
  </si>
  <si>
    <t>FR-AE3A6061</t>
  </si>
  <si>
    <t>MRO/2006/page_33.pdf-1</t>
  </si>
  <si>
    <t>based on a 365 day year and the average sales price per barrel listed above , what was the total refined product sales revenue for 2006?</t>
  </si>
  <si>
    <t>$ 40444920\n</t>
  </si>
  <si>
    <t>49.53</t>
  </si>
  <si>
    <t>direct_391648100901</t>
  </si>
  <si>
    <t>{"answer_type": "plain", "candidate_confidence": 0.4438833736194992, "candidate_id": "direct_391648100901", "decision": "accepted", "evidence_claims": [{"base_value": "49.53", "canonical": "49.53", "character_end": null, "character_start": null, "column_index": 3, "column_label": "2004", "currency": "USD", "evidence_id": "table:r8:c3:n0", "is_percent": false, "is_year": false, "metric_text": "Average sales price ($ per barrel)", "period": "2004", "raw_number": "$49.53", "row_index": 8, "row_label": "Average sales price ($ per barrel)", "scale": null, "sentence_index": null, "source_type": "table", "text": "Average sales price ($ per barrel) | 2004 | $49.53", "value": "49.53"}], "evidence_ids": ["table:r8:c3:n0"], "expression": "table:r8:c3:n0", "operation": "lookup", "proof_type": "direct", "reason": "The complete answer has a valid question-conditioned provenance proof.", "response": "49.53"}</t>
  </si>
  <si>
    <t>Required evidence: table_7: ( thousands of barrels per day ) the total ( a ) of 2006 is 1425 ; the total ( a ) of 2005 is 1455 ; the total ( a ) of 2004 is 1400 ; | table_8: ( thousands of barrels per day ) the average sales price ( $ per barrel ) of 2006 is $ 77.76 ; the average sales price ( $ per barrel ) of 2005 is $ 66.42 ; the averag... Selected/output evidence: table:r8:c3:n0: table row 'Average sales price ($ per barrel)', column '2004' = 49.53</t>
  </si>
  <si>
    <t>The question required multiply(multiply(1425, 77.76), 365), but the system treated it as direct_lookup. This produced '49.53' rather than the requested calculation.</t>
  </si>
  <si>
    <t>FR-23BF5345</t>
  </si>
  <si>
    <t>AAP/2011/page_28.pdf-1</t>
  </si>
  <si>
    <t>what is the roi of an investment in advance auto parts from 2006 to january 3 , 2009?</t>
  </si>
  <si>
    <t>-2.7%</t>
  </si>
  <si>
    <t>8%</t>
  </si>
  <si>
    <t>derived_efdfc178f86b</t>
  </si>
  <si>
    <t>{"answer_type": "percentage", "candidate_confidence": 0.741767439540308, "candidate_id": "derived_efdfc178f86b", "decision": "accepted", "evidence_claims": [{"base_value": "108.00", "canonical": "108", "character_end": null, "character_start": null, "column_index": 2, "column_label": "December 29, 2007", "currency": "USD", "evidence_id": "table:r1:c2:n0", "is_percent": false, "is_year": false, "metric_text": "Advance Auto Parts", "period": "2007", "raw_number": "$108.00", "row_index": 1, "row_label": "Advance Auto Parts", "scale": null, "sentence_index": null, "source_type": "table", "text": "Advance Auto Parts | December 29, 2007 | $108.00", "value": "108.00"}, {"base_value": "100.00", "canonical": "100", "character_end": null, "character_start": null, "column_index": 1, "column_label": "December 30, 2006", "currency": "USD", "evidence_id": "table:r1:c1:n0", "is_percent": false, "is_year": false, "metric_text": "Advance Auto Parts", "period": "2006", "raw_number": "$100.00", "row_index": 1, "row_label": "Advance Auto Parts", "scale": null, "sentence_index": null, "source_type": "table", "text": "Advance Auto Parts | December 30, 2006 | $100.00", "value": "100.00"}, {"base_value": "100.00", "canonical": "100", "character_end": null, "character_start": null, "column_index": 1, "column_label": "December 30, 2006", "currency": "USD", "evidence_id": "table:r1:c1:n0", "is_percent": false, "is_year": false, "metric_text": "Advance Auto Parts", "period": "2006", "raw_number": "$100.00", "row_index": 1, "row_label": "Advance Auto Parts", "scale": null, "sentence_index": null, "source_type": "table", "text": "Advance Auto Parts | December 30, 2006 | $100.00", "value": "100.00"}], "evidence_ids": ["table:r1:c2:n0", "table:r1:c1:n0", "table:r1:c1:n0"], "expression": "((table:r1:c2:n0 - table:r1:c1:n0) / table:r1:c1:n0) * 100", "operation": "percentage_change", "proof_type": "derived", "reason": "The complete answer has a valid question-conditioned provenance proof.", "response": "8%"}</t>
  </si>
  <si>
    <t>Required evidence: table_1: company/index the advance auto parts of december 30 2006 is $ 100.00 ; the advance auto parts of december 29 2007 is $ 108.00 ; the advance auto parts of january 3 200... Selected/output evidence: table:r1:c2:n0: table row 'Advance Auto Parts', column 'December 29, 2007' = 108 | table:r1:c1:n0: table row 'Advance Auto Parts', column 'December 30, 2006' = 100 | table:r1:c1:n0: table row 'Advance Auto Parts', column 'December 30, 2006' = 100</t>
  </si>
  <si>
    <t>The final candidate lattice did not contain the reference answer. The required calculation was divide(subtract(97.26, const_100), const_100), so the correct value could not be selected.</t>
  </si>
  <si>
    <t>FR-C215C0B2</t>
  </si>
  <si>
    <t>ETR/2011/page_324.pdf-2</t>
  </si>
  <si>
    <t>in december 2011 what was the ratio of the receivables to the credit facility outstanding</t>
  </si>
  <si>
    <t>2368.3</t>
  </si>
  <si>
    <t>scale_or_currency_extraction</t>
  </si>
  <si>
    <t>Required evidence: text_2: entergy louisiana has sufficient capacity under these tests to meet its foreseeable capital needs . | table_2: 2011 the ( $ 118415 ) of 2010 is $ 49887 ; the ( $ 118415 ) of 2009 is $ 52807 ; the ( $ 118415 ) of 2008 is $ 61236 ; | text_6: as of december 31 , 2011 , $ 50 million was outstanding on the credit facility . Selected/output evidence: No accepted proof evidence (The system withheld an answer.).</t>
  </si>
  <si>
    <t>The source values used different units or scales, and that conversion was not carried through correctly for divide(118415, 50).</t>
  </si>
  <si>
    <t>FR-F3E59DE8</t>
  </si>
  <si>
    <t>GS/2016/page_77.pdf-1</t>
  </si>
  <si>
    <t>what percentage of total net revenue investing &amp; lending segment is due to equity securities in 2016?</t>
  </si>
  <si>
    <t>63%</t>
  </si>
  <si>
    <t>4.579</t>
  </si>
  <si>
    <t>{"answer_type": null, "candidate_confidence": null, "candidate_id": null, "decision": "rejected", "evidence_claims": [], "evidence_ids": [], "expression": null, "operation": null, "proof_type": null, "reason": "The complete answer is absent from the question-conditioned proof lattice.", "response": "4.579"}</t>
  </si>
  <si>
    <t>Required evidence: table_1: $ in millions the equity securities of year ended december 2016 is $ 2573 ; the equity securities of year ended december 2015 is $ 3781 ; the equity securities of year... | table_3: $ in millions the total net revenues of year ended december 2016 is 4080 ; the total net revenues of year ended december 2015 is 5436 ; the total net revenues of year ... Selected/output evidence: No accepted proof evidence (The complete answer is absent from the question-conditioned proof lattice.).</t>
  </si>
  <si>
    <t>The system returned '4.579' even though the complete answer was not supported by a valid proof and was not in the certified lattice.</t>
  </si>
  <si>
    <t>FR-94AF0E3B</t>
  </si>
  <si>
    <t>ETR/2011/page_376.pdf-1</t>
  </si>
  <si>
    <t>what was the average net revenue from 2010 to 2011</t>
  </si>
  <si>
    <t>559</t>
  </si>
  <si>
    <t>a higher tax rate .</t>
  </si>
  <si>
    <t>{"answer_type": null, "candidate_confidence": null, "candidate_id": null, "decision": "rejected", "evidence_claims": [], "evidence_ids": [], "expression": null, "operation": null, "proof_type": null, "reason": "The response is not a complete single numeric answer.", "response": "a higher tax rate ."}</t>
  </si>
  <si>
    <t>Required evidence: table_1: the 2010 net revenue of amount ( in millions ) is $ 540.2 ; | table_6: the 2011 net revenue of amount ( in millions ) is $ 577.8 ; Selected/output evidence: No accepted proof evidence (The response is not a complete single numeric answer.).</t>
  </si>
  <si>
    <t>The output was not a complete single numeric answer. It returned 'a higher tax rate .', so it could not be evaluated as a valid response. The reference answer is the two-year average, but the stored FinQA program adds an extra constant before division.</t>
  </si>
  <si>
    <t>FR-A694D98B</t>
  </si>
  <si>
    <t>PNC/2013/page_62.pdf-2</t>
  </si>
  <si>
    <t>in millions what was total residential mortgages balance for 2013 and 2012?</t>
  </si>
  <si>
    <t>3576</t>
  </si>
  <si>
    <t>1356</t>
  </si>
  <si>
    <t>derived_679850dbfa7d</t>
  </si>
  <si>
    <t>{"answer_type": "plain", "candidate_confidence": 0.6979310555488447, "candidate_id": "derived_679850dbfa7d", "decision": "accepted", "evidence_claims": [{"base_value": "1315000000", "canonical": "1315", "character_end": null, "character_start": null, "column_index": 1, "column_label": "December 312013", "currency": "USD", "evidence_id": "table:r4:c1:n0", "is_percent": false, "is_year": false, "metric_text": "Residential mortgages at fair value", "period": null, "raw_number": "1,315", "row_index": 4, "row_label": "Residential mortgages at fair value", "scale": "million", "sentence_index": null, "source_type": "table", "text": "Residential mortgages at fair value | December 312013 | 1,315", "value": "1315"}, {"base_value": "41000000", "canonical": "41", "character_end": null, "character_start": null, "column_index": 1, "column_label": "December 312013", "currency": "USD", "evidence_id": "table:r5:c1:n0", "is_percent": false, "is_year": false, "metric_text": "Residential mortgages at lower of cost or fair value", "period": null, "raw_number": "41", "row_index": 5, "row_label": "Residential mortgages at lower of cost or fair value", "scale": "million", "sentence_index": null, "source_type": "table", "text": "Residential mortgages at lower of cost or fair value | December 312013 | 41", "value": "41"}], "evidence_ids": ["table:r4:c1:n0", "table:r5:c1:n0"], "expression": "table:r4:c1:n0 + table:r5:c1:n0", "operation": "addition", "proof_type": "derived", "reason": "The complete answer has a valid question-conditioned provenance proof.", "response": "1356"}</t>
  </si>
  <si>
    <t>Required evidence: table_6: in millions the total residential mortgages of december 312013 is 1356 ; the total residential mortgages of december 312012 is 2220 ; Selected/output evidence: table:r4:c1:n0: table row 'Residential mortgages at fair value', column 'December 312013' = 1315 | table:r5:c1:n0: table row 'Residential mortgages at lower of cost or fair value', column 'December 312013' = 41</t>
  </si>
  <si>
    <t>The correct operation was available, but the proof used the wrong value or row for one of the required roles. It selected table:r4:c1:n0: table row 'Residential mortgages at fair value', column 'December 312013' = 1315 | table:r5:c1:n0: table row 'Residential mortgages at lower of cost or fair value', column 'December 312013' = 41 instead of using add(1356, 2220).</t>
  </si>
  <si>
    <t>FR-92580EB9</t>
  </si>
  <si>
    <t>VRTX/2003/page_71.pdf-1</t>
  </si>
  <si>
    <t>what percent of the total common stock plans are related to the vertex purchase plan?</t>
  </si>
  <si>
    <t>1.1%</t>
  </si>
  <si>
    <t>0.01%</t>
  </si>
  <si>
    <t>direct_ca25dc0ed3c7</t>
  </si>
  <si>
    <t>{"answer_type": "percentage", "candidate_confidence": 0.5842876192078738, "candidate_id": "direct_ca25dc0ed3c7", "decision": "accepted", "evidence_claims": [{"base_value": "0.01", "canonical": "0.01", "character_end": 229, "character_start": 223, "column_index": null, "column_label": null, "currency": "USD", "evidence_id": "text:s5:n2", "is_percent": false, "is_year": false, "metric_text": "at any time prior to the acquisition by a person or group of beneficial ownership of 15% ( 15 % ) or more of the outstanding common stock , the board of directors of the company may redeem the rights in whole at a price of $ 0.01 per right .", "period": null, "raw_number": "$ 0.01", "row_index": null, "row_label": null, "scale": null, "sentence_index": 5, "source_type": "text", "text": "at any time prior to the acquisition by a person or group of beneficial ownership of 15% ( 15 % ) or more of the outstanding common stock , the board of directors of the company may redeem the rights in whole at a price of $ 0.01 per right .", "value": "0.01"}], "evidence_ids": ["text:s5:n2"], "expression": "text:s5:n2", "operation": "lookup", "proof_type": "direct", "reason": "The complete answer has a valid question-conditioned provenance proof.", "response": "0.01%"}</t>
  </si>
  <si>
    <t>Required evidence: table_1: common stock under stock and option plans the common stock under the vertex purchase plan of 21829 is 249 ; | table_3: common stock under stock and option plans the total of 21829 is 22203 ; Selected/output evidence: text:s5:n2: text value 0.01 (at any time prior to the acquisition by a person or group of beneficial ownership of 15...)</t>
  </si>
  <si>
    <t>The question required divide(249, 22203), but the system treated it as direct_lookup. This produced '0.01%' rather than the requested calculation.</t>
  </si>
  <si>
    <t>FR-0163CEA1</t>
  </si>
  <si>
    <t>FR-EC1C110C</t>
  </si>
  <si>
    <t>FBHS/2017/page_23.pdf-2</t>
  </si>
  <si>
    <t>what was the percentage growth in sales of cabinets from 2016 to 2017</t>
  </si>
  <si>
    <t>2.9%</t>
  </si>
  <si>
    <t>Required evidence: table_1: ( in millions ) the cabinets of 2017 is $ 2467.1 ; the cabinets of 2016 is $ 2397.8 ; the cabinets of 2015 is $ 2173.4 ; Selected/output evidence: No accepted proof evidence (The system withheld an answer.).</t>
  </si>
  <si>
    <t>The correct candidate was available, but the system returned INSUFFICIENT_EVIDENCE instead of answering with 2.9%.</t>
  </si>
  <si>
    <t>FR-A1A2E76B</t>
  </si>
  <si>
    <t>4.08%</t>
  </si>
  <si>
    <t>direct_e8ae24d687bf</t>
  </si>
  <si>
    <t>{"answer_type": "percentage", "candidate_confidence": 0.5903380211023012, "candidate_id": "direct_e8ae24d687bf", "decision": "accepted", "evidence_claims": [{"base_value": "4080000000.00", "canonical": "4.08", "character_end": 55, "character_start": 41, "column_index": null, "column_label": null, "currency": "USD", "evidence_id": "text:s20:n0", "is_percent": false, "is_year": false, "metric_text": "net revenues in investing &amp; lending were $ 4.08 billion for 2016 , 25% ( 25 % ) lower than 2015 .", "period": "2016", "raw_number": "$ 4.08 billion", "row_index": null, "row_label": null, "scale": "billion", "sentence_index": 20, "source_type": "text", "text": "net revenues in investing &amp; lending were $ 4.08 billion for 2016 , 25% ( 25 % ) lower than 2015 .", "value": "4.08"}], "evidence_ids": ["text:s20:n0"], "expression": "text:s20:n0", "operation": "lookup", "proof_type": "direct", "reason": "The complete answer has a valid question-conditioned provenance proof.", "response": "4.08%"}</t>
  </si>
  <si>
    <t>Required evidence: table_1: $ in millions the equity securities of year ended december 2016 is $ 2573 ; the equity securities of year ended december 2015 is $ 3781 ; the equity securities of year... | table_3: $ in millions the total net revenues of year ended december 2016 is 4080 ; the total net revenues of year ended december 2015 is 5436 ; the total net revenues of year ... Selected/output evidence: text:s20:n0: text value 4.08 for 2016 (net revenues in investing &amp; lending were $ 4.08 billion for 2016 , 25% ( 25 % ) lower t...)</t>
  </si>
  <si>
    <t>The question required divide(2573, 4080), but the system treated it as direct_lookup. This produced '4.08%' rather than the requested calculation.</t>
  </si>
  <si>
    <t>FR-D0DCA7CB</t>
  </si>
  <si>
    <t>IP/2006/page_32.pdf-2</t>
  </si>
  <si>
    <t>in 2005 what percentage of consumer packaging sales were represented by foodservice net sales?</t>
  </si>
  <si>
    <t>19%</t>
  </si>
  <si>
    <t>7%</t>
  </si>
  <si>
    <t>direct_db41cd03b0c9</t>
  </si>
  <si>
    <t>{"answer_type": "percentage", "candidate_confidence": 0.6739552245904915, "candidate_id": "direct_db41cd03b0c9", "decision": "accepted", "evidence_claims": [{"base_value": "7", "canonical": "7", "character_end": 75, "character_start": 73, "column_index": null, "column_label": null, "currency": null, "evidence_id": "text:s11:n3", "is_percent": true, "is_year": false, "metric_text": "consumer packaging net sales increased 9% ( 9 % ) compared with 2005 and 7% ( 7 % ) compared with 2004 .", "period": "2005", "raw_number": "7%", "row_index": null, "row_label": null, "scale": null, "sentence_index": 11, "source_type": "text", "text": "consumer packaging net sales increased 9% ( 9 % ) compared with 2005 and 7% ( 7 % ) compared with 2004 .", "value": "7"}], "evidence_ids": ["text:s11:n3"], "expression": "text:s11:n3", "operation": "lookup", "proof_type": "direct", "reason": "The complete answer has a valid question-conditioned provenance proof.", "response": "7%"}</t>
  </si>
  <si>
    <t>Required evidence: table_1: in millions the sales of 2006 is $ 2455 ; the sales of 2005 is $ 2245 ; the sales of 2004 is $ 2295 ; | text_21: foodservice net sales declined to $ 396 million in 2006 , compared with $ 437 million in 2005 and $ 480 million in 2004 , due principally to the sale of the jackson , ... Selected/output evidence: text:s11:n3: text value 7 for 2005 (consumer packaging net sales increased 9% ( 9 % ) compared with 2005 and 7% ( 7 % ) com...)</t>
  </si>
  <si>
    <t>The question required divide(437, 2245), but the system treated it as direct_lookup. This produced '7%' rather than the requested calculation.</t>
  </si>
  <si>
    <t>FR-76A5794E</t>
  </si>
  <si>
    <t>NKE/2016/page_37.pdf-1</t>
  </si>
  <si>
    <t>as of may 31 , 2016 what percentage of cash and cash equivalents was held in foreign subsidiaries?</t>
  </si>
  <si>
    <t>84%</t>
  </si>
  <si>
    <t>0.6958%</t>
  </si>
  <si>
    <t>derived_2b0d48821da7</t>
  </si>
  <si>
    <t>{"answer_type": "percentage", "candidate_confidence": 0.7521492274900554, "candidate_id": "derived_2b0d48821da7", "decision": "accepted", "evidence_claims": [{"base_value": "31", "canonical": "31", "character_end": 13, "character_start": 10, "column_index": null, "column_label": null, "currency": "USD", "evidence_id": "text:s27:n0", "is_percent": false, "is_year": false, "metric_text": "as of may 31 , 2016 , we had cash , cash equivalents and short-term investments totaling $ 5.5 billion , of which $ 4.6 billion was held by our foreign subsidiaries .", "period": "2016", "raw_number": "31", "row_index": null, "row_label": null, "scale": null, "sentence_index": 27, "source_type": "text", "text": "as of may 31 , 2016 , we had cash , cash equivalents and short-term investments totaling $ 5.5 billion , of which $ 4.6 billion was held by our foreign subsidiaries .", "value": "31"}, {"base_value": "6344", "canonical": "6344", "character_end": null, "character_start": null, "column_index": 1, "column_label": "Cash Payments Due During the Year Ending May 31,", "currency": "USD", "evidence_id": "table:r8:c1:n0", "is_percent": false, "is_year": false, "metric_text": "TOTAL", "period": null, "raw_number": "$6,344", "row_index": 8, "row_label": "TOTAL", "scale": null, "sentence_index": null, "source_type": "table", "text": "TOTAL | Cash Payments Due During the Year Ending May 31, | $6,344", "value": "6344"}, {"base_value": "1889", "canonical": "1889", "character_end": null, "character_start": null, "column_index": 2, "column_label": null, "currency": "USD", "evidence_id": "table:r8:c2:n0", "is_percent": false, "is_year": false, "metric_text": "TOTAL", "period": null, "raw_number": "$1,889", "row_index": 8, "row_label": "TOTAL", "scale": null, "sentence_index": null, "source_type": "table", "text": "TOTAL |  | $1,889", "value": "1889"}], "evidence_ids": ["text:s27:n0", "table:r8:c1:n0", "table:r8:c2:n0"], "expression": "text:s27:n0 / (table:r8:c1:n0 - table:r8:c2:n0) * 100", "operation": "margin", "proof_type": "derived", "reason": "The complete answer has a valid question-conditioned provenance proof.", "response": "0.6958%"}</t>
  </si>
  <si>
    <t>Required evidence: text_27: as of may 31 , 2016 , we had cash , cash equivalents and short-term investments totaling $ 5.5 billion , of which $ 4.6 billion was held by our foreign subsidiaries . Selected/output evidence: text:s27:n0: text value 31 for 2016 (as of may 31 , 2016 , we had cash , cash equivalents and short-term investments totalin...) | table:r8:c1:n0: table row 'TOTAL', column 'Cash Payments Due During the Year Ending May 31,' = 6344 | table:r8:c2:n0: table row 'TOTAL' = 1889</t>
  </si>
  <si>
    <t>Not all values needed for divide(4.6, 5.5) were retained in the retrieved evidence, so the correct candidate was not built.</t>
  </si>
  <si>
    <t>FR-31911704</t>
  </si>
  <si>
    <t>HOLX/2008/page_142.pdf-1</t>
  </si>
  <si>
    <t>what portion of the purchasing price is dedicated to goodwill?</t>
  </si>
  <si>
    <t>18.5%</t>
  </si>
  <si>
    <t>final purchase price | $24,800 | $31,300</t>
  </si>
  <si>
    <t>{"answer_type": null, "candidate_confidence": null, "candidate_id": null, "decision": "rejected", "evidence_claims": [], "evidence_ids": [], "expression": null, "operation": null, "proof_type": null, "reason": "The response is not a complete single numeric answer.", "response": "final purchase price | $24,800 | $31,300"}</t>
  </si>
  <si>
    <t>Required evidence: table_6: net tangible assets acquired as of may 2 2006 the goodwill of $ 24800 is 5800 ; | table_7: net tangible assets acquired as of may 2 2006 the final purchase price of $ 24800 is $ 31300 ; Selected/output evidence: No accepted proof evidence (The response is not a complete single numeric answer.).</t>
  </si>
  <si>
    <t>The output was not a complete single numeric answer. It returned 'final purchase price | $24,800 | $31,300', so it could not be evaluated as a valid response.</t>
  </si>
  <si>
    <t>FR-F2248F9D</t>
  </si>
  <si>
    <t>FR-D1038042</t>
  </si>
  <si>
    <t>SPGI/2015/page_57.pdf-1</t>
  </si>
  <si>
    <t>what was the net equity in the assets acquired</t>
  </si>
  <si>
    <t>2234</t>
  </si>
  <si>
    <t>Required evidence: table_10: current assets the total assets acquired of $ 23 is 2378 ; | table_14: current assets the total liabilities acquired of $ 23 is -144 ( 144 ) ; Selected/output evidence: No accepted proof evidence (The system withheld an answer.).</t>
  </si>
  <si>
    <t>The correct candidate was available, but the system returned INSUFFICIENT_EVIDENCE instead of answering with 2234.</t>
  </si>
  <si>
    <t>FR-24F08C84</t>
  </si>
  <si>
    <t>JPM/2007/page_33.pdf-2</t>
  </si>
  <si>
    <t>what was the percentage change in investment banking fees from 2006 to 2007?</t>
  </si>
  <si>
    <t>20%</t>
  </si>
  <si>
    <t>Required evidence: table_1: year ended december 31 ( in millions ) the investment banking fees of 2007 is $ 6635 ; the investment banking fees of 2006 is $ 5520 ; the investment banking fees of 2... Selected/output evidence: No accepted proof evidence (The response is not a complete single numeric answer.).</t>
  </si>
  <si>
    <t>FR-2B407AE1</t>
  </si>
  <si>
    <t>ADI/2011/page_81.pdf-2</t>
  </si>
  <si>
    <t>what is the net change in the total investment from 2010 to 2011?</t>
  </si>
  <si>
    <t>17720</t>
  </si>
  <si>
    <t>Required evidence: table_3: the total deferred compensation plan investments of 2011 is $ 26410 ; the total deferred compensation plan investments of 2010 is $ 8690 ; Selected/output evidence: No accepted proof evidence (The response is not a complete single numeric answer.).</t>
  </si>
  <si>
    <t>FR-C1695400</t>
  </si>
  <si>
    <t>UNP/2015/page_24.pdf-1</t>
  </si>
  <si>
    <t>what was the ratio of the free cash flow to the cash provided by operating activities in 2015</t>
  </si>
  <si>
    <t>0.07</t>
  </si>
  <si>
    <t>Required evidence: table_1: millions the cash provided by operating activities of 2015 is $ 7344 ; the cash provided by operating activities of 2014 is $ 7385 ; the cash provided by operating act... | table_4: millions the free cash flow of 2015 is $ 524 ; the free cash flow of 2014 is $ 1504 ; the free cash flow of 2013 is $ 2085 ; Selected/output evidence: No accepted proof evidence (The system withheld an answer.).</t>
  </si>
  <si>
    <t>The correct candidate was available, but the system returned INSUFFICIENT_EVIDENCE instead of answering with 0.07.</t>
  </si>
  <si>
    <t>FR-6EE66446</t>
  </si>
  <si>
    <t>PKG/2009/page_65.pdf-2</t>
  </si>
  <si>
    <t>what percentage of total purchase commitments are due in 2013?</t>
  </si>
  <si>
    <t>Required evidence: table_4: the 2013 of ( in thousands ) is 1486 ; | table_7: the total of ( in thousands ) is $ 44572 ; Selected/output evidence: No accepted proof evidence (The system withheld an answer.).</t>
  </si>
  <si>
    <t>The final candidate lattice did not contain the reference answer. The required calculation was divide(1486, 44572), so the correct value could not be selected.</t>
  </si>
  <si>
    <t>FR-0823F165</t>
  </si>
  <si>
    <t>IPG/2015/page_37.pdf-1</t>
  </si>
  <si>
    <t>what is the percentage increase from 2014-2015 in total cash flow data?</t>
  </si>
  <si>
    <t>2.04%</t>
  </si>
  <si>
    <t>117.5%</t>
  </si>
  <si>
    <t>{"answer_type": null, "candidate_confidence": null, "candidate_id": null, "decision": "rejected", "evidence_claims": [], "evidence_ids": [], "expression": null, "operation": null, "proof_type": null, "reason": "The complete answer is absent from the question-conditioned proof lattice.", "response": "117.5%"}</t>
  </si>
  <si>
    <t>fragment_constraint_escape</t>
  </si>
  <si>
    <t>Required evidence: table_1: cash flow data the net income adjusted to reconcile net income to net cashprovided by operating activities1 of years ended december 31 , 2015 is $ 848.2 ; the net inco... | text_0: management 2019s discussion and analysis of financial condition and results of operations 2013 ( continued ) ( amounts in millions , except per share amounts ) liquidi... Selected/output evidence: No accepted proof evidence (The complete answer is absent from the question-conditioned proof lattice.).</t>
  </si>
  <si>
    <t>The fragment-level constraint allowed the complete answer '117.5%' to be formed even though that number was not certified.</t>
  </si>
  <si>
    <t>FR-FFADA874</t>
  </si>
  <si>
    <t>ETR/2013/page_118.pdf-2</t>
  </si>
  <si>
    <t>what amount of long-term debt is due in the next 36 months for entergy corporation as of december 31 , 2013 , in millions?</t>
  </si>
  <si>
    <t>1766.8</t>
  </si>
  <si>
    <t>149</t>
  </si>
  <si>
    <t>direct_aba519b57ba3</t>
  </si>
  <si>
    <t>{"answer_type": "plain", "candidate_confidence": 0.7706854754321298, "candidate_id": "direct_aba519b57ba3", "decision": "accepted", "evidence_claims": [{"base_value": "149000000", "canonical": "149", "character_end": 64, "character_start": 51, "column_index": null, "column_label": null, "currency": "USD", "evidence_id": "text:s5:n0", "is_percent": false, "is_year": false, "metric_text": "( e ) the fair value excludes lease obligations of $ 149 million at entergy louisiana and $ 97 million at system energy , long-term doe obligations of $ 181 million at entergy arkansas , and the note payable to nypa of $ 95 million at entergy , and includes debt due within one year .", "period": null, "raw_number": "$ 149 million", "row_index": null, "row_label": null, "scale": "million", "sentence_index": 5, "source_type": "text", "text": "( e ) the fair value excludes lease obligations of $ 149 million at entergy louisiana and $ 97 million at system energy , long-term doe obligations of $ 181 million at entergy arkansas , and the note payable to nypa of $ 95 million at entergy , and includes debt due within one year .", "value": "149"}], "evidence_ids": ["text:s5:n0"], "expression": "text:s5:n0", "operation": "lookup", "proof_type": "direct", "reason": "The complete answer has a valid question-conditioned provenance proof.", "response": "149"}</t>
  </si>
  <si>
    <t>Required evidence: table_1: the 2014 of amount ( in thousands ) is $ 385373 ; | table_2: the 2015 of amount ( in thousands ) is $ 1110566 ; | table_3: the 2016 of amount ( in thousands ) is $ 270852 ; Selected/output evidence: text:s5:n0: text value 149 (( e ) the fair value excludes lease obligations of $ 149 million at entergy louisiana a...)</t>
  </si>
  <si>
    <t>The question required divide(add(add(385373, 1110566), 270852), const_1000), but the system treated it as direct_lookup. This produced '149' rather than the requested calculation.</t>
  </si>
  <si>
    <t>FR-B852D050</t>
  </si>
  <si>
    <t>MRO/2015/page_18.pdf-2</t>
  </si>
  <si>
    <t>in 2018 , what percentage of undeveloped acres were located in the u.s?</t>
  </si>
  <si>
    <t>12.6%</t>
  </si>
  <si>
    <t>Required evidence: table_1: ( in thousands ) the u.s . of net undeveloped acres expiring year ended december 31 , 2016 is 68 ; the u.s . of net undeveloped acres expiring year ended december 31 ,... | table_6: ( in thousands ) the total of net undeveloped acres expiring year ended december 31 , 2016 is 257 ; the total of net undeveloped acres expiring year ended december 31 ... Selected/output evidence: No accepted proof evidence (The system withheld an answer.).</t>
  </si>
  <si>
    <t>The final candidate lattice did not contain the reference answer. The required calculation was divide(128, 1018), so the correct value could not be selected.</t>
  </si>
  <si>
    <t>FR-5D55FDEA</t>
  </si>
  <si>
    <t>6.0</t>
  </si>
  <si>
    <t>{"answer_type": "percentage", "candidate_confidence": 0.9036198822455562, "candidate_id": "direct_8f0f880b71d0", "decision": "accepted", "evidence_claims": [{"base_value": "6000000.0", "canonical": "6", "character_end": 191, "character_start": 188, "column_index": null, "column_label": null, "currency": null, "evidence_id": "text:s3:n6", "is_percent": false, "is_year": false, "metric_text": "properties as of december 28 , 2013 , our major facilities consisted of : ( square feet in millions ) united states countries total owned facilities1 29.9 16.7 46.6 leased facilities2 2.3 6.0 8.3 .", "period": "2013", "raw_number": "6.0", "row_index": null, "row_label": null, "scale": "million", "sentence_index": 3, "source_type": "text", "text": "properties as of december 28 , 2013 , our major facilities consisted of : ( square feet in millions ) united states countries total owned facilities1 29.9 16.7 46.6 leased facilities2 2.3 6.0 8.3 .", "value": "6.0"}], "evidence_ids": ["text:s3:n6"], "expression": "text:s3:n6", "operation": "lookup", "proof_type": "direct", "reason": "The complete answer has a valid question-conditioned provenance proof.", "response": "6.0"}</t>
  </si>
  <si>
    <t>FR-D0A71D84</t>
  </si>
  <si>
    <t>FR-F206EAC8</t>
  </si>
  <si>
    <t>AES/2001/page_44.pdf-2</t>
  </si>
  <si>
    <t>2001 revenue from large utilities were how many times the revenues from the growth distribution segment?</t>
  </si>
  <si>
    <t>2.5</t>
  </si>
  <si>
    <t>739</t>
  </si>
  <si>
    <t>direct_774ee99c1900</t>
  </si>
  <si>
    <t>{"answer_type": "count", "candidate_confidence": 0.8765166744803472, "candidate_id": "direct_774ee99c1900", "decision": "accepted", "evidence_claims": [{"base_value": "739000000", "canonical": "739", "character_end": null, "character_start": null, "column_index": 1, "column_label": "2001", "currency": "USD", "evidence_id": "table:r3:c1:n0", "is_percent": false, "is_year": false, "metric_text": "Large utilities", "period": "2001", "raw_number": "$739 million", "row_index": 3, "row_label": "Large utilities", "scale": "million", "sentence_index": null, "source_type": "table", "text": "Large utilities | 2001 | $739 million", "value": "739"}], "evidence_ids": ["table:r3:c1:n0"], "expression": "table:r3:c1:n0", "operation": "lookup", "proof_type": "direct", "reason": "The complete answer has a valid question-conditioned provenance proof.", "response": "739"}</t>
  </si>
  <si>
    <t>Required evidence: table_3: the large utilities of 2001 is $ 739 million ; the large utilities of 2000 is $ 538 million ; the large utilities of % ( % ) change is 37% ( 37 % ) ; | table_4: the growth distribution of 2001 is $ 296 million ; the growth distribution of 2000 is $ 131 million ; the growth distribution of % ( % ) change is 126% ( 126 % ) ; Selected/output evidence: table:r3:c1:n0: table row 'Large utilities', column '2001' = 739</t>
  </si>
  <si>
    <t>The question required divide(739, 296), but the system treated it as direct_lookup. This produced '739' rather than the requested calculation.</t>
  </si>
  <si>
    <t>FR-01C484D8</t>
  </si>
  <si>
    <t>FR-FE00701F</t>
  </si>
  <si>
    <t>SWKS/2006/page_81.pdf-1</t>
  </si>
  <si>
    <t>what are the total pension liability adjustment from 2004 to 2006?</t>
  </si>
  <si>
    <t>187</t>
  </si>
  <si>
    <t>Required evidence: text_2: these differences may significantly impact future pension or retiree medical expenses . | text_4: the expected return on plan assets is calculated by applying an assumed long-term rate of return to the fair value of plan assets . | table_2: the change in period of pension adjustments is -351 ( 351 ) ; the change in period of accumulated other comprehensive loss is -351 ( 351 ) ; | table_4: the change in period of pension adjustments is 538 ; the change in period of accumulated other comprehensive loss is 538 ; Selected/output evidence: No accepted proof evidence (The system withheld an answer.).</t>
  </si>
  <si>
    <t>The final candidate lattice did not contain the reference answer. The required calculation was add(multiply(351, const_m1), 538), so the correct value could not be selected.</t>
  </si>
  <si>
    <t>FR-16DAAE46</t>
  </si>
  <si>
    <t>JPM/2007/page_157.pdf-1</t>
  </si>
  <si>
    <t>what was the percentage change in the fair value of msrs in 2007?</t>
  </si>
  <si>
    <t>14%</t>
  </si>
  <si>
    <t>-2047%</t>
  </si>
  <si>
    <t>derived_5556fe7d637a</t>
  </si>
  <si>
    <t>{"answer_type": "percentage", "candidate_confidence": 0.9432900095883054, "candidate_id": "derived_5556fe7d637a", "decision": "accepted", "evidence_claims": [{"base_value": "-2047000000", "canonical": "-2047", "character_end": null, "character_start": null, "column_index": 1, "column_label": "2007", "currency": "USD", "evidence_id": "table:r9:c1:n0", "is_percent": false, "is_year": false, "metric_text": "Total change in fair value", "period": "2007", "raw_number": "(2,047)", "row_index": 9, "row_label": "Total change in fair value", "scale": "million", "sentence_index": null, "source_type": "table", "text": "Total change in fair value | 2007 | (2,047)", "value": "-2047"}, {"base_value": "31", "canonical": "31", "character_end": 93, "character_start": 90, "column_index": null, "column_label": null, "currency": "USD", "evidence_id": "text:s32:n0", "is_percent": false, "is_year": false, "metric_text": "change in unrealized ( losses ) gains included in income related to msrs held at december 31 $ ( 516 ) na ( a ) represents msr asset fair value adjustments due to changes in market-based inputs , such as interest rates and volatility , as well as updates to assumptions used in the msr valuation model .", "period": null, "raw_number": "31", "row_index": null, "row_label": null, "scale": null, "sentence_index": 32, "source_type": "text", "text": "change in unrealized ( losses ) gains included in income related to msrs held at december 31 $ ( 516 ) na ( a ) represents msr asset fair value adjustments due to changes in market-based inputs , such as interest rates and volatility , as well as updates to assumptions used in the msr valuation model .", "value": "31"}], "evidence_ids": ["table:r9:c1:n0", "text:s32:n0"], "expression": "table:r9:c1:n0 - text:s32:n0", "operation": "subtraction", "proof_type": "derived", "reason": "The complete answer has a valid question-conditioned provenance proof.", "response": "-2047%"}</t>
  </si>
  <si>
    <t>Required evidence: table_10: year ended december 31 ( inmillions ) the fair value at december 31 of 2007 is $ 8632 ; the fair value at december 31 of 2006 is $ 7546 ; Selected/output evidence: table:r9:c1:n0: table row 'Total change in fair value', column '2007' = -2047 | text:s32:n0: text value 31 (change in unrealized ( losses ) gains included in income related to msrs held at decemb...)</t>
  </si>
  <si>
    <t>FR-6EA47C85</t>
  </si>
  <si>
    <t>DVN/2014/page_85.pdf-1</t>
  </si>
  <si>
    <t>what is the average amortization amount , in millions , from 2015-2019?</t>
  </si>
  <si>
    <t>44.8</t>
  </si>
  <si>
    <t>derived_3b02834dcf49</t>
  </si>
  <si>
    <t>{"answer_type": "plain", "candidate_confidence": 0.7186954936661711, "candidate_id": "derived_3b02834dcf49", "decision": "accepted", "evidence_claims": [{"base_value": "31", "canonical": "31", "character_end": 42, "character_start": 39, "column_index": null, "column_label": null, "currency": "USD", "evidence_id": "text:s5:n0", "is_percent": false, "is_year": false, "metric_text": "other intangible assets as of december 31 , 2014 , intangible assets associated with customer relationships had a gross carrying amount of $ 569 million and $ 36 million of accumulated amortization .", "period": "2014", "raw_number": "31", "row_index": null, "row_label": null, "scale": null, "sentence_index": 5, "source_type": "text", "text": "other intangible assets as of december 31 , 2014 , intangible assets associated with customer relationships had a gross carrying amount of $ 569 million and $ 36 million of accumulated amortization .", "value": "31"}, {"base_value": "31", "canonical": "31", "character_end": 99, "character_start": 96, "column_index": null, "column_label": null, "currency": "USD", "evidence_id": "text:s7:n1", "is_percent": false, "is_year": false, "metric_text": "amortization expense for intangibles was approximately $ 36 million for the year ended december 31 , 2014 .", "period": "2014", "raw_number": "31", "row_index": null, "row_label": null, "scale": null, "sentence_index": 7, "source_type": "text", "text": "amortization expense for intangibles was approximately $ 36 million for the year ended december 31 , 2014 .", "value": "31"}], "evidence_ids": ["text:s5:n0", "text:s7:n1"], "expression": "(text:s5:n0 + text:s7:n1) / 2", "operation": "average", "proof_type": "derived", "reason": "The complete answer has a valid question-conditioned provenance proof.", "response": "0"}</t>
  </si>
  <si>
    <t>retrieval_wrong_period</t>
  </si>
  <si>
    <t>Required evidence: table_1: year the 2015 of amortization amount ( in millions ) is $ 45 ; | table_2: year the 2016 of amortization amount ( in millions ) is $ 45 ; | table_3: year the 2017 of amortization amount ( in millions ) is $ 45 ; | table_4: year the 2018 of amortization amount ( in millions ) is $ 45 ; | table_5: year the 2019 of amortization amount ( in millions ) is $ 44 ; | text_10: year amortization amount ( in millions ) . Selected/output evidence: text:s5:n0: text value 31 for 2014 (other intangible assets as of december 31 , 2014 , intangible assets associated with cu...) | text:s7:n1: text value 31 for 2014 (amortization expense for intangibles was approximately $ 36 million for the year ended ...)</t>
  </si>
  <si>
    <t>The selected evidence came from the wrong reporting period. The question needed divide(add(multiply(45, const_4), 44), const_5), but the proof used text:s5:n0: text value 31 for 2014 (other intangible assets as of december 31 , 2014 , intangible assets associated with cu...) | text:s7:n1: text value 31 for 2014 (amortization expense for intangibles was approximately $ 36 million for the year ended ...).</t>
  </si>
  <si>
    <t>FR-44D641E4</t>
  </si>
  <si>
    <t>LMT/2013/page_74.pdf-1</t>
  </si>
  <si>
    <t>what was the average number of weighted average common shares outstanding for diluted computations from 2011 to 2013</t>
  </si>
  <si>
    <t>331.6</t>
  </si>
  <si>
    <t>[text:s16:n1, text:s16:n1]</t>
  </si>
  <si>
    <t>{"answer_type": null, "candidate_confidence": null, "candidate_id": null, "decision": "rejected", "evidence_claims": [], "evidence_ids": [], "expression": null, "operation": null, "proof_type": null, "reason": "The response is not a complete single numeric answer.", "response": "[text:s16:n1, text:s16:n1]"}</t>
  </si>
  <si>
    <t>The output was not a complete single numeric answer. It returned '[text:s16:n1, text:s16:n1]', so it could not be evaluated as a valid response. The reference answer is the three-year average, but the stored FinQA program adds a constant and divides by two.</t>
  </si>
  <si>
    <t>FR-DF2CC2DB</t>
  </si>
  <si>
    <t>PNC/2009/page_41.pdf-3</t>
  </si>
  <si>
    <t>in 2009 what was the ratio of the commercial mortgages at fair value to lower of cost or market \\n</t>
  </si>
  <si>
    <t>4.18</t>
  </si>
  <si>
    <t>Required evidence: table_1: in millions the commercial mortgages at fair value of dec.31 2009 is $ 1050 ; the commercial mortgages at fair value of dec . 312008 is $ 1401 ; | table_2: in millions the commercial mortgages at lower of cost or market of dec.31 2009 is 251 ; the commercial mortgages at lower of cost or market of dec . 312008 is 747 ; Selected/output evidence: No accepted proof evidence (The system withheld an answer.).</t>
  </si>
  <si>
    <t>The correct candidate was available, but the system returned INSUFFICIENT_EVIDENCE instead of answering with 4.18.</t>
  </si>
  <si>
    <t>FR-D8CEA154</t>
  </si>
  <si>
    <t>ETR/2008/page_377.pdf-3</t>
  </si>
  <si>
    <t>what is the percent change in net revenue between 2006 and 2007?</t>
  </si>
  <si>
    <t>9.7%</t>
  </si>
  <si>
    <t>13.1</t>
  </si>
  <si>
    <t>direct_f747adc9c547</t>
  </si>
  <si>
    <t>{"answer_type": "percentage", "candidate_confidence": 0.12100354451939803, "candidate_id": "direct_f747adc9c547", "decision": "accepted", "evidence_claims": [{"base_value": "13100000.0", "canonical": "13.1", "character_end": null, "character_start": null, "column_index": 1, "column_label": "Amount (In Millions)", "currency": null, "evidence_id": "table:r2:c1:n0", "is_percent": false, "is_year": false, "metric_text": "Purchased power capacity", "period": null, "raw_number": "13.1", "row_index": 2, "row_label": "Purchased power capacity", "scale": "million", "sentence_index": null, "source_type": "table", "text": "Purchased power capacity | Amount (In Millions) | 13.1", "value": "13.1"}], "evidence_ids": ["table:r2:c1:n0"], "expression": "table:r2:c1:n0", "operation": "lookup", "proof_type": "direct", "reason": "The complete answer has a valid question-conditioned provenance proof.", "response": "13.1"}</t>
  </si>
  <si>
    <t>Required evidence: table_1: the 2006 net revenue of amount ( in millions ) is $ 403.3 ; | table_8: the 2007 net revenue of amount ( in millions ) is $ 442.3 ; Selected/output evidence: table:r2:c1:n0: table row 'Purchased power capacity', column 'Amount (In Millions)' = 13.1</t>
  </si>
  <si>
    <t>The question required divide(subtract(442.3, 403.3), 403.3), but the system treated it as direct_lookup. This produced '13.1' rather than the requested calculation.</t>
  </si>
  <si>
    <t>FR-336023C4</t>
  </si>
  <si>
    <t>PNC/2009/page_41.pdf-2</t>
  </si>
  <si>
    <t>what was the percentage gain recognized on the commercial mortgages held for sale in 2009</t>
  </si>
  <si>
    <t>2%</t>
  </si>
  <si>
    <t>87.1681%</t>
  </si>
  <si>
    <t>derived_d6675e8d611f</t>
  </si>
  <si>
    <t>{"answer_type": "percentage", "candidate_confidence": 0.7746091665039792, "candidate_id": "derived_d6675e8d611f", "decision": "accepted", "evidence_claims": [{"base_value": "197000000", "canonical": "197", "character_end": 223, "character_start": 210, "column_index": null, "column_label": null, "currency": "USD", "evidence_id": "text:s25:n2", "is_percent": false, "is_year": false, "metric_text": "we recognized net gains of $ 107 million in 2009 on the valuation and sale of commercial mortgage loans held for sale , net of hedges , carried at fair value and lower of cost or market compared with losses of $ 197 million in 2008 .", "period": "2009", "raw_number": "$ 197 million", "row_index": null, "row_label": null, "scale": "million", "sentence_index": 25, "source_type": "text", "text": "we recognized net gains of $ 107 million in 2009 on the valuation and sale of commercial mortgage loans held for sale , net of hedges , carried at fair value and lower of cost or market compared with losses of $ 197 million in 2008 .", "value": "197"}, {"base_value": "226000000", "canonical": "226", "character_end": null, "character_start": null, "column_index": 1, "column_label": "Dec.31 2009", "currency": "USD", "evidence_id": "table:r7:c1:n0", "is_percent": false, "is_year": false, "metric_text": "Other", "period": "2009", "raw_number": "226", "row_index": 7, "row_label": "Other", "scale": "million", "sentence_index": null, "source_type": "table", "text": "Other | Dec.31 2009 | 226", "value": "226"}], "evidence_ids": ["text:s25:n2", "table:r7:c1:n0"], "expression": "(text:s25:n2 / table:r7:c1:n0) * 100", "operation": "division", "proof_type": "derived", "reason": "The complete answer has a valid question-conditioned provenance proof.", "response": "87.1681%"}</t>
  </si>
  <si>
    <t>Required evidence: text_24: for commercial mortgages held for sale carried at the lower of cost or market , strong origination volumes partially offset sales to government agencies of $ 5.4 billi... | text_25: we recognized net gains of $ 107 million in 2009 on the valuation and sale of commercial mortgage loans held for sale , net of hedges , carried at fair value and lower... Selected/output evidence: text:s25:n2: text value 197 for 2009 (we recognized net gains of $ 107 million in 2009 on the valuation and sale of commercia...) | table:r7:c1:n0: table row 'Other', column 'Dec.31 2009' = 226</t>
  </si>
  <si>
    <t>The source values used different units or scales, and that conversion was not carried through correctly for divide(107, 5.4).</t>
  </si>
  <si>
    <t>FR-C1C1A940</t>
  </si>
  <si>
    <t>FR-80897DA1</t>
  </si>
  <si>
    <t>FR-23FE228A</t>
  </si>
  <si>
    <t>MRO/2017/page_111.pdf-4</t>
  </si>
  <si>
    <t>by how much did proved undeveloped reserves increase during 2017?</t>
  </si>
  <si>
    <t>-1.1%</t>
  </si>
  <si>
    <t>Required evidence: table_1: beginning of year the revisions of previous estimates of 552 is 5 ; | table_7: beginning of year the end of year of 552 is 546 ; Selected/output evidence: No accepted proof evidence (The system withheld an answer.).</t>
  </si>
  <si>
    <t>The final candidate lattice did not contain the reference answer. The required calculation was divide(subtract(546, 552), 552), so the correct value could not be selected.</t>
  </si>
  <si>
    <t>FR-88F33578</t>
  </si>
  <si>
    <t>ADBE/2018/page_86.pdf-4</t>
  </si>
  <si>
    <t>what is the combined amount of accrued interest and penalties related to tax positions taken on our tax returns in millions for fiscal 2018 and 2017?</t>
  </si>
  <si>
    <t>48.2</t>
  </si>
  <si>
    <t>24.6</t>
  </si>
  <si>
    <t>direct_280f7fe0376f</t>
  </si>
  <si>
    <t>{"answer_type": "plain", "candidate_confidence": 0.6739611835045046, "candidate_id": "direct_280f7fe0376f", "decision": "accepted", "evidence_claims": [{"base_value": "24600000.0", "canonical": "24.6", "character_end": 137, "character_start": 123, "column_index": null, "column_label": null, "currency": "USD", "evidence_id": "text:s18:n0", "is_percent": false, "is_year": false, "metric_text": "the combined amount of accrued interest and penalties related to tax positions taken on our tax returns were approximately $ 24.6 million and $ 23.6 million for fiscal 2018 and 2017 , respectively .", "period": "2018", "raw_number": "$ 24.6 million", "row_index": null, "row_label": null, "scale": "million", "sentence_index": 18, "source_type": "text", "text": "the combined amount of accrued interest and penalties related to tax positions taken on our tax returns were approximately $ 24.6 million and $ 23.6 million for fiscal 2018 and 2017 , respectively .", "value": "24.6"}], "evidence_ids": ["text:s18:n0"], "expression": "text:s18:n0", "operation": "lookup", "proof_type": "direct", "reason": "The complete answer has a valid question-conditioned provenance proof.", "response": "24.6"}</t>
  </si>
  <si>
    <t>Required evidence: text_7: as of november 30 , 2018 , the cumulative amount of earnings upon which u.s . | text_18: the combined amount of accrued interest and penalties related to tax positions taken on our tax returns were approximately $ 24.6 million and $ 23.6 million for fiscal... Selected/output evidence: text:s18:n0: text value 24.6 for 2018 (the combined amount of accrued interest and penalties related to tax positions taken on...)</t>
  </si>
  <si>
    <t>Not all values needed for add(24.6, 23.6) were retained in the retrieved evidence, so the correct candidate was not built.</t>
  </si>
  <si>
    <t>FR-4119AAD0</t>
  </si>
  <si>
    <t>FR-BB0CCAAC</t>
  </si>
  <si>
    <t>LMT/2015/page_99.pdf-3</t>
  </si>
  <si>
    <t>what was the change in millions of total long-term debt net from 2014 to 2015?</t>
  </si>
  <si>
    <t>9119</t>
  </si>
  <si>
    <t>{"answer_type": "plain", "candidate_confidence": 0.739424981041101, "candidate_id": "derived_625c416886f8", "decision": "accepted", "evidence_claims": [{"base_value": "1941000000", "canonical": "1941", "character_end": null, "character_start": null, "column_index": 1, "column_label": "2015", "currency": "USD", "evidence_id": "table:r3:c1:n0", "is_percent": false, "is_year": false, "metric_text": "Notes with rates from 6.15% to 9.13%, due 2016 to 2036", "period": "2015", "raw_number": "1,941", "row_index": 3, "row_label": "Notes with rates from 6.15% to 9.13%, due 2016 to 2036", "scale": "million", "sentence_index": null, "source_type": "table", "text": "Notes with rates from 6.15% to 9.13%, due 2016 to 2036 | 2015 | 1,941", "value": "1941"}, {"base_value": "1941000000", "canonical": "1941", "character_end": null, "character_start": null, "column_index": 2, "column_label": "2014", "currency": "USD", "evidence_id": "table:r3:c2:n0", "is_percent": false, "is_year": false, "metric_text": "Notes with rates from 6.15% to 9.13%, due 2016 to 2036", "period": "2014", "raw_number": "1,941", "row_index": 3, "row_label": "Notes with rates from 6.15% to 9.13%, due 2016 to 2036", "scale": "million", "sentence_index": null, "source_type": "table", "text": "Notes with rates from 6.15% to 9.13%, due 2016 to 2036 | 2014 | 1,941", "value": "1941"}], "evidence_ids": ["table:r3:c1:n0", "table:r3:c2:n0"], "expression": "table:r3:c1:n0 - table:r3:c2:n0", "operation": "subtraction", "proof_type": "derived", "reason": "The complete answer has a valid question-conditioned provenance proof.", "response": "0"}</t>
  </si>
  <si>
    <t>Required evidence: table_7: the total long-term debt net of 2015 is $ 15261 ; the total long-term debt net of 2014 is $ 6142 ; Selected/output evidence: table:r3:c1:n0: table row 'Notes with rates from 6.15% to 9.13%, due 2016 to 2036', column '2015' = 1941 | table:r3:c2:n0: table row 'Notes with rates from 6.15% to 9.13%, due 2016 to 2036', column '2014' = 1941</t>
  </si>
  <si>
    <t>The correct operation was available, but the proof used the wrong value or row for one of the required roles. It selected table:r3:c1:n0: table row 'Notes with rates from 6.15% to 9.13%, due 2016 to 2036', column '2015' = 1941 | table:r3:c2:n0: table row 'Notes with rates from 6.15% to 9.13%, due 2016 to 2036', column '2014' = 1941 instead of using subtract(15261, 6142).</t>
  </si>
  <si>
    <t>FR-0A57EE11</t>
  </si>
  <si>
    <t>350.82%</t>
  </si>
  <si>
    <t>direct_578d95615377</t>
  </si>
  <si>
    <t>{"answer_type": "percentage", "candidate_confidence": 0.8179491377219197, "candidate_id": "direct_578d95615377", "decision": "accepted", "evidence_claims": [{"base_value": "350.82", "canonical": "350.82", "character_end": null, "character_start": null, "column_index": 5, "column_label": "December 31, 2014", "currency": "USD", "evidence_id": "table:r1:c5:n0", "is_percent": false, "is_year": false, "metric_text": "Delphi Automotive PLC (1)", "period": "2014", "raw_number": "$350.82", "row_index": 1, "row_label": "Delphi Automotive PLC (1)", "scale": null, "sentence_index": null, "source_type": "table", "text": "Delphi Automotive PLC (1) | December 31, 2014 | $350.82", "value": "350.82"}], "evidence_ids": ["table:r1:c5:n0"], "expression": "table:r1:c5:n0", "operation": "lookup", "proof_type": "direct", "reason": "The complete answer has a valid question-conditioned provenance proof.", "response": "350.82%"}</t>
  </si>
  <si>
    <t>Required evidence: table_1: company index the delphi automotive plc ( 1 ) of november 17 2011 is $ 100.00 ; the delphi automotive plc ( 1 ) of december 31 2011 is $ 100.98 ; the delphi automotive... Selected/output evidence: table:r1:c5:n0: table row 'Delphi Automotive PLC (1)', column 'December 31, 2014' = 350.82</t>
  </si>
  <si>
    <t>The question required divide(subtract(350.82, const_100), const_100), but the system treated it as direct_lookup. This produced '350.82%' rather than the requested calculation.</t>
  </si>
  <si>
    <t>FR-60A9975E</t>
  </si>
  <si>
    <t>HOLX/2012/page_113.pdf-1</t>
  </si>
  <si>
    <t>what portion of the gen-probe's purchase price is paid in cash?</t>
  </si>
  <si>
    <t>99.9%</t>
  </si>
  <si>
    <t>direct_26f76af1c7ba</t>
  </si>
  <si>
    <t>{"answer_type": "percentage", "candidate_confidence": 0.5824086312387123, "candidate_id": "direct_26f76af1c7ba", "decision": "accepted", "evidence_claims": [{"base_value": "8", "canonical": "8", "character_end": 148, "character_start": 146, "column_index": null, "column_label": null, "currency": "USD", "evidence_id": "text:s16:n0", "is_percent": false, "is_year": false, "metric_text": "in addition , all outstanding restricted shares , restricted stock units , performance shares , and those stock options granted prior to february 8 , 2012 were cancelled and converted into the right to receive $ 82.75 per share in cash less the applicable exercise price , as applicable .", "period": "2012", "raw_number": "8", "row_index": null, "row_label": null, "scale": null, "sentence_index": 16, "source_type": "text", "text": "in addition , all outstanding restricted shares , restricted stock units , performance shares , and those stock options granted prior to february 8 , 2012 were cancelled and converted into the right to receive $ 82.75 per share in cash less the applicable exercise price , as applicable .", "value": "8"}], "evidence_ids": ["text:s16:n0"], "expression": "text:s16:n0", "operation": "lookup", "proof_type": "direct", "reason": "The complete answer has a valid question-conditioned provenance proof.", "response": "8%"}</t>
  </si>
  <si>
    <t>Required evidence: table_3: cash paid the total purchase price of $ 3967866 is $ 3972176 ; Selected/output evidence: text:s16:n0: text value 8 for 2012 (in addition , all outstanding restricted shares , restricted stock units , performance ...)</t>
  </si>
  <si>
    <t>The question required divide(3967866, 3972176), but the system treated it as direct_lookup. This produced '8%' rather than the requested calculation.</t>
  </si>
  <si>
    <t>FR-6522165C</t>
  </si>
  <si>
    <t>CME/2012/page_70.pdf-1</t>
  </si>
  <si>
    <t>what is the percent of available potential to increase the multi-currency line of credit</t>
  </si>
  <si>
    <t>40%</t>
  </si>
  <si>
    <t>derived_64f8654875c8</t>
  </si>
  <si>
    <t>{"answer_type": "percentage", "candidate_confidence": 0.8519048814071508, "candidate_id": "derived_64f8654875c8", "decision": "accepted", "evidence_claims": [{"base_value": "5000000000.0", "canonical": "5", "character_end": 27, "character_start": 14, "column_index": null, "column_label": null, "currency": "USD", "evidence_id": "text:s6:n0", "is_percent": false, "is_year": false, "metric_text": "we maintain a $ 5.0 billion 364-day multi-currency line of credit with a consortium of domestic and international banks to be used in certain situations by cme clearing .", "period": null, "raw_number": "$ 5.0 billion", "row_index": null, "row_label": null, "scale": "billion", "sentence_index": 6, "source_type": "text", "text": "we maintain a $ 5.0 billion 364-day multi-currency line of credit with a consortium of domestic and international banks to be used in certain situations by cme clearing .", "value": "5.0"}, {"base_value": "364", "canonical": "364", "character_end": 31, "character_start": 28, "column_index": null, "column_label": null, "currency": "USD", "evidence_id": "text:s6:n1", "is_percent": false, "is_year": false, "metric_text": "we maintain a $ 5.0 billion 364-day multi-currency line of credit with a consortium of domestic and international banks to be used in certain situations by cme clearing .", "period": null, "raw_number": "364", "row_index": null, "row_label": null, "scale": null, "sentence_index": 6, "source_type": "text", "text": "we maintain a $ 5.0 billion 364-day multi-currency line of credit with a consortium of domestic and international banks to be used in certain situations by cme clearing .", "value": "364"}], "evidence_ids": ["text:s6:n0", "text:s6:n1"], "expression": "text:s6:n0 - text:s6:n1", "operation": "subtraction", "proof_type": "derived", "reason": "The complete answer has a valid question-conditioned provenance proof.", "response": "5%"}</t>
  </si>
  <si>
    <t>Required evidence: text_6: we maintain a $ 5.0 billion 364-day multi-currency line of credit with a consortium of domestic and international banks to be used in certain situations by cme clearing . | text_7: we have the option to request an increase in the line from $ 5.0 billion to $ 7.0 billion . Selected/output evidence: text:s6:n0: text value 5 (we maintain a $ 5.0 billion 364-day multi-currency line of credit with a consortium of ...) | text:s6:n1: text value 364 (we maintain a $ 5.0 billion 364-day multi-currency line of credit with a consortium of ...)</t>
  </si>
  <si>
    <t>Not all values needed for divide(subtract(const_7, const_5), const_5) were retained in the retrieved evidence, so the correct candidate was not built.</t>
  </si>
  <si>
    <t>FR-6202820C</t>
  </si>
  <si>
    <t>JPM/2014/page_65.pdf-3</t>
  </si>
  <si>
    <t>based o n the review of the simultaneous investments of the jpmorgan chase common stock in the various index what was the ratio of the performance in the kbw bank index to the s&amp;p financial index in 2010</t>
  </si>
  <si>
    <t>1.1</t>
  </si>
  <si>
    <t>{"answer_type": null, "candidate_confidence": null, "candidate_id": null, "decision": "rejected", "evidence_claims": [], "evidence_ids": [], "expression": null, "operation": null, "proof_type": null, "reason": "The complete answer is absent from the question-conditioned proof lattice.", "response": "1"}</t>
  </si>
  <si>
    <t>Required evidence: table_2: december 31 ( in dollars ) the kbw bank index of 2009 is 100.00 ; the kbw bank index of 2010 is 123.36 ; the kbw bank index of 2011 is 94.75 ; the kbw bank index of 20... | table_3: december 31 ( in dollars ) the s&amp;p financial index of 2009 is 100.00 ; the s&amp;p financial index of 2010 is 112.13 ; the s&amp;p financial index of 2011 is 93.00 ; the s&amp;p f... Selected/output evidence: No accepted proof evidence (The complete answer is absent from the question-conditioned proof lattice.).</t>
  </si>
  <si>
    <t>The system returned '1' even though the complete answer was not supported by a valid proof and was not in the certified lattice.</t>
  </si>
  <si>
    <t>FR-77FF75F8</t>
  </si>
  <si>
    <t>ANSS/2013/page_55.pdf-3</t>
  </si>
  <si>
    <t>what percentage of total contractual obligations comes from global headquarters operating leases?</t>
  </si>
  <si>
    <t>47.32%</t>
  </si>
  <si>
    <t>97.9%</t>
  </si>
  <si>
    <t>{"answer_type": null, "candidate_confidence": null, "candidate_id": null, "decision": "rejected", "evidence_claims": [], "evidence_ids": [], "expression": null, "operation": null, "proof_type": null, "reason": "The complete answer is absent from the question-conditioned proof lattice.", "response": "97.9%"}</t>
  </si>
  <si>
    <t>Required evidence: table_1: ( in thousands ) the global headquarters operating leases ( 1 ) of payments due by period total is $ 68389 ; the global headquarters operating leases ( 1 ) of payments... | table_6: ( in thousands ) the total contractual obligations of payments due by period total is $ 144535 ; the total contractual obligations of payments due by period within 1 y... | text_0: contractual obligations the company's significant contractual obligations as of december 31 , 2013 are summarized below: . Selected/output evidence: No accepted proof evidence (The complete answer is absent from the question-conditioned proof lattice.).</t>
  </si>
  <si>
    <t>The system returned '97.9%' even though the complete answer was not supported by a valid proof and was not in the certified lattice.</t>
  </si>
  <si>
    <t>FR-485F4748</t>
  </si>
  <si>
    <t>FR-A284AEE0</t>
  </si>
  <si>
    <t>MAS/2018/page_35.pdf-3</t>
  </si>
  <si>
    <t>what was the percentage growth in the operating profit as reported from 2017 to 2018</t>
  </si>
  <si>
    <t>1.4%</t>
  </si>
  <si>
    <t>Required evidence: table_1: the operating profit as reported of 2018 is $ 1211 ; the operating profit as reported of 2017 is $ 1194 ; the operating profit as reported of 2016 is $ 1087 ; Selected/output evidence: No accepted proof evidence (The system withheld an answer.).</t>
  </si>
  <si>
    <t>The final candidate lattice did not contain the reference answer. The required calculation was divide(subtract(1211, 1194), 1194), so the correct value could not be selected.</t>
  </si>
  <si>
    <t>FR-D202F59A</t>
  </si>
  <si>
    <t>HII/2017/page_104.pdf-2</t>
  </si>
  <si>
    <t>what is the percentage change in the unamortized debt issuance costs associated with its credit facilities from 2016 to 2017?</t>
  </si>
  <si>
    <t>37.5%</t>
  </si>
  <si>
    <t>22%</t>
  </si>
  <si>
    <t>direct_ec9d9bb14ae8</t>
  </si>
  <si>
    <t>{"answer_type": "percentage", "candidate_confidence": 0.49306093375267146, "candidate_id": "direct_ec9d9bb14ae8", "decision": "accepted", "evidence_claims": [{"base_value": "22", "canonical": "22", "character_end": 148, "character_start": 145, "column_index": null, "column_label": null, "currency": "USD", "evidence_id": "text:s8:n1", "is_percent": false, "is_year": false, "metric_text": "the credit facility includes a revolving credit facility of $ 1250 million , which may be drawn upon during a period of five years from november 22 , 2017 .", "period": "2017", "raw_number": "22", "row_index": null, "row_label": null, "scale": null, "sentence_index": 8, "source_type": "text", "text": "the credit facility includes a revolving credit facility of $ 1250 million , which may be drawn upon during a period of five years from november 22 , 2017 .", "value": "22"}], "evidence_ids": ["text:s8:n1"], "expression": "text:s8:n1", "operation": "lookup", "proof_type": "direct", "reason": "The complete answer has a valid question-conditioned provenance proof.", "response": "22%"}</t>
  </si>
  <si>
    <t>Required evidence: text_17: the company had unamortized debt issuance costs associated with its credit facilities of $ 11 million and $ 8 million as of december 31 , 2017 and 2016 , respectively . Selected/output evidence: text:s8:n1: text value 22 for 2017 (the credit facility includes a revolving credit facility of $ 1250 million , which may ...)</t>
  </si>
  <si>
    <t>Not all values needed for divide(subtract(11, 8), 8) were retained in the retrieved evidence, so the correct candidate was not built.</t>
  </si>
  <si>
    <t>FR-C1F67084</t>
  </si>
  <si>
    <t>9%</t>
  </si>
  <si>
    <t>direct_9b5c53cd6227</t>
  </si>
  <si>
    <t>{"answer_type": "percentage", "candidate_confidence": 0.45938589141585895, "candidate_id": "direct_9b5c53cd6227", "decision": "accepted", "evidence_claims": [{"base_value": "9000000.0", "canonical": "9", "character_end": null, "character_start": null, "column_index": 2, "column_label": "2003 Program", "currency": "USD", "evidence_id": "table:r4:c2:n0", "is_percent": false, "is_year": false, "metric_text": "Liability at December 31, 2007", "period": "2003", "raw_number": "$9.0", "row_index": 4, "row_label": "Liability at December 31, 2007", "scale": "million", "sentence_index": null, "source_type": "table", "text": "Liability at December 31, 2007 | 2003 Program | $9.0", "value": "9.0"}], "evidence_ids": ["table:r4:c2:n0"], "expression": "table:r4:c2:n0", "operation": "lookup", "proof_type": "direct", "reason": "The complete answer has a valid question-conditioned provenance proof.", "response": "9%"}</t>
  </si>
  <si>
    <t>Required evidence: table_4: the liability at december 31 2007 of 2007 program is $ 11.9 ; the liability at december 31 2007 of 2003 program is $ 9.0 ; the liability at december 31 2007 of 2001 pr... | table_7: the liability at december 31 2008 of 2007 program is $ 1.2 ; the liability at december 31 2008 of 2003 program is $ 5.7 ; the liability at december 31 2008 of 2001 pro... | text_0: notes to consolidated financial statements 2014 ( continued ) ( amounts in millions , except per share amounts ) a summary of the remaining liability for the 2007 , 20... Selected/output evidence: table:r4:c2:n0: table row 'Liability at December 31, 2007', column '2003 Program' = 9</t>
  </si>
  <si>
    <t>The final candidate lattice did not contain the reference answer. The required calculation was multiply(divide(subtract(29.6, 12.8), 29.6), const_100), so the correct value could not be selected.</t>
  </si>
  <si>
    <t>FR-92D300D0</t>
  </si>
  <si>
    <t>MS/2014/page_267.pdf-1</t>
  </si>
  <si>
    <t>what is the net change in shares of common stock outstanding from 2013 to 2014 in millions?</t>
  </si>
  <si>
    <t>6</t>
  </si>
  <si>
    <t>direct_b48d5c7e01b9</t>
  </si>
  <si>
    <t>{"answer_type": "plain", "candidate_confidence": 0.34432980163915156, "candidate_id": "direct_b48d5c7e01b9", "decision": "accepted", "evidence_claims": [{"base_value": "1000000", "canonical": "1", "character_end": null, "character_start": null, "column_index": 0, "column_label": null, "currency": null, "evidence_id": "table:r2:c0:n0", "is_percent": false, "is_year": false, "metric_text": "Treasury stock purchases(1)", "period": null, "raw_number": "1)", "row_index": 2, "row_label": "Treasury stock purchases(1)", "scale": "million", "sentence_index": null, "source_type": "table", "text": "Treasury stock purchases(1) |  | Treasury stock purchases(1)", "value": "1"}], "evidence_ids": ["table:r2:c0:n0"], "expression": "table:r2:c0:n0", "operation": "lookup", "proof_type": "direct", "reason": "The complete answer has a valid question-conditioned provenance proof.", "response": "1"}</t>
  </si>
  <si>
    <t>Required evidence: table_4: the shares outstanding at end of period of 2014 is 1951 ; the shares outstanding at end of period of 2013 is 1945 ; Selected/output evidence: table:r2:c0:n0: table row 'Treasury stock purchases(1)' = 1</t>
  </si>
  <si>
    <t>The question required subtract(1951, 1945), but the system treated it as direct_lookup. This produced '1' rather than the requested calculation.</t>
  </si>
  <si>
    <t>FR-CFE3E460</t>
  </si>
  <si>
    <t>UNP/2014/page_75.pdf-1</t>
  </si>
  <si>
    <t>what was the percentage growth from 2013 to 2014 in the total accounts payable and other current liabilities</t>
  </si>
  <si>
    <t>7.03%</t>
  </si>
  <si>
    <t>63.9%</t>
  </si>
  <si>
    <t>{"answer_type": null, "candidate_confidence": null, "candidate_id": null, "decision": "rejected", "evidence_claims": [], "evidence_ids": [], "expression": null, "operation": null, "proof_type": null, "reason": "The complete answer is absent from the question-conditioned proof lattice.", "response": "63.9%"}</t>
  </si>
  <si>
    <t>Required evidence: table_9: millions the total accounts payable and othercurrent liabilities of dec . 31 2014 is $ 3303 ; the total accounts payable and othercurrent liabilities of dec . 312013 i... Selected/output evidence: No accepted proof evidence (The complete answer is absent from the question-conditioned proof lattice.).</t>
  </si>
  <si>
    <t>The system returned '63.9%' even though the complete answer was not supported by a valid proof and was not in the certified lattice.</t>
  </si>
  <si>
    <t>FR-0A1D9FF6</t>
  </si>
  <si>
    <t>PNC/2009/page_46.pdf-4</t>
  </si>
  <si>
    <t>what is the average percentage for aaa rated facilities in 2008 and 2009?</t>
  </si>
  <si>
    <t>16.5%</t>
  </si>
  <si>
    <t>lcc )</t>
  </si>
  <si>
    <t>{"answer_type": null, "candidate_confidence": null, "candidate_id": null, "decision": "rejected", "evidence_claims": [], "evidence_ids": [], "expression": null, "operation": null, "proof_type": null, "reason": "The response is not a complete single numeric answer.", "response": "lcc )"}</t>
  </si>
  <si>
    <t>Required evidence: table_1: the aaa/aaa of december 31 2009 is 14% ( 14 % ) ; the aaa/aaa of december 312008 is 19% ( 19 % ) ; | table_5: the total of december 31 2009 is 100% ( 100 % ) ; the total of december 312008 is 100% ( 100 % ) ; | text_0: market street commitments by credit rating ( a ) december 31 , december 31 . Selected/output evidence: No accepted proof evidence (The response is not a complete single numeric answer.).</t>
  </si>
  <si>
    <t>The output was not a complete single numeric answer. It returned 'lcc )', so it could not be evaluated as a valid response.</t>
  </si>
  <si>
    <t>FR-640A8A91</t>
  </si>
  <si>
    <t>DRE/2002/page_40.pdf-2</t>
  </si>
  <si>
    <t>what is the percent change in quarterly cash dividend for the period ended march 31 2002 to the period ended december 31 2002?</t>
  </si>
  <si>
    <t>1.11%</t>
  </si>
  <si>
    <t>direct_4035ba128fba</t>
  </si>
  <si>
    <t>{"answer_type": "percentage", "candidate_confidence": 0.42307304353144476, "candidate_id": "direct_4035ba128fba", "decision": "accepted", "evidence_claims": [{"base_value": "14", "canonical": "14", "character_end": 172, "character_start": 169, "column_index": null, "column_label": null, "currency": "USD", "evidence_id": "text:s3:n5", "is_percent": false, "is_year": false, "metric_text": "on january 29 , 2003 , the company declared a quarterly cash dividend of $ .455 per share , payable on february 28 , 2003 , to common shareholders of record on february 14 , 2003.", "period": "2003", "raw_number": "14", "row_index": null, "row_label": null, "scale": null, "sentence_index": 3, "source_type": "text", "text": "on january 29 , 2003 , the company declared a quarterly cash dividend of $ .455 per share , payable on february 28 , 2003 , to common shareholders of record on february 14 , 2003.", "value": "14"}], "evidence_ids": ["text:s3:n5"], "expression": "text:s3:n5", "operation": "lookup", "proof_type": "direct", "reason": "The complete answer has a valid question-conditioned provenance proof.", "response": "14%"}</t>
  </si>
  <si>
    <t>Required evidence: table_4: quarter ended the march 31 of 2002 high is 26.50 ; the march 31 of 2002 low is 22.92 ; the march 31 of 2002 dividend is .450 ; the march 31 of 2002 high is 25.44 ; the... | table_2: quarter ended the september 30 of 2002 high is 28.88 ; the september 30 of 2002 low is 21.40 ; the september 30 of 2002 dividend is .455 ; the september 30 of 2002 hig... Selected/output evidence: text:s3:n5: text value 14 for 2003 (on january 29 , 2003 , the company declared a quarterly cash dividend of $ .455 per sha...)</t>
  </si>
  <si>
    <t>The selected evidence came from the wrong reporting period. The question needed multiply(divide(subtract(.455, .450), .450), const_100), but the proof used text:s3:n5: text value 14 for 2003 (on january 29 , 2003 , the company declared a quarterly cash dividend of $ .455 per sha...).</t>
  </si>
  <si>
    <t>FR-5DEB5A13</t>
  </si>
  <si>
    <t>PM/2014/page_67.pdf-1</t>
  </si>
  <si>
    <t>what was the total of u.s . dollar notes issued in 2014 , in millions?</t>
  </si>
  <si>
    <t>2000</t>
  </si>
  <si>
    <t>750</t>
  </si>
  <si>
    <t>direct_d27a36de34f4</t>
  </si>
  <si>
    <t>{"answer_type": "plain", "candidate_confidence": 0.6024101622470868, "candidate_id": "direct_d27a36de34f4", "decision": "accepted", "evidence_claims": [{"base_value": "750", "canonical": "750", "character_end": 24, "character_start": 19, "column_index": null, "column_label": null, "currency": "USD", "evidence_id": "text:s18:n0", "is_percent": false, "is_year": false, "metric_text": "dollar notes ( d ) $ 750 3.250% ( 3.250 % ) november 2014 november 2024 u.s .", "period": "2014", "raw_number": "$ 750", "row_index": null, "row_label": null, "scale": null, "sentence_index": 18, "source_type": "text", "text": "dollar notes ( d ) $ 750 3.250% ( 3.250 % ) november 2014 november 2024 u.s .", "value": "750"}], "evidence_ids": ["text:s18:n0"], "expression": "text:s18:n0", "operation": "lookup", "proof_type": "direct", "reason": "The complete answer has a valid question-conditioned provenance proof.", "response": "750"}</t>
  </si>
  <si>
    <t>Required evidence: table_6: type the u.s . dollar notes of is ( d ) ; the u.s . dollar notes of face value ( e ) is $ 500 ; the u.s . dollar notes of interest rate is 1.250% ( 1.250 % ) ; the u.s... | table_7: type the u.s . dollar notes of is ( d ) ; the u.s . dollar notes of face value ( e ) is $ 750 ; the u.s . dollar notes of interest rate is 3.250% ( 3.250 % ) ; the u.s... | table_8: type the u.s . dollar notes of is ( d ) ; the u.s . dollar notes of face value ( e ) is $ 750 ; the u.s . dollar notes of interest rate is 4.250% ( 4.250 % ) ; the u.s... Selected/output evidence: text:s18:n0: text value 750 for 2014 (dollar notes ( d ) $ 750 3.250% ( 3.250 % ) november 2014 november 2024 u.s .)</t>
  </si>
  <si>
    <t>The final candidate lattice did not contain the reference answer. The required calculation was add(add(750, 750), 500), so the correct value could not be selected.</t>
  </si>
  <si>
    <t>FR-4114375A</t>
  </si>
  <si>
    <t>GPN/2017/page_77.pdf-1</t>
  </si>
  <si>
    <t>what portion of the total identifiable net assets is in cash?</t>
  </si>
  <si>
    <t>73.7%</t>
  </si>
  <si>
    <t>Required evidence: table_7: cash the total identifiable net assets of $ 45826 is 62154 ; Selected/output evidence: No accepted proof evidence (The system withheld an answer.).</t>
  </si>
  <si>
    <t>The final candidate lattice did not contain the reference answer. The required calculation was divide(45826, 62154), so the correct value could not be selected.</t>
  </si>
  <si>
    <t>FR-F34A84BE</t>
  </si>
  <si>
    <t>FR-81C8F75C</t>
  </si>
  <si>
    <t>FR-ACCCE895</t>
  </si>
  <si>
    <t>BLL/2007/page_35.pdf-2</t>
  </si>
  <si>
    <t>for q4 2007 , what was the total amount spent on share repurchases?</t>
  </si>
  <si>
    <t>56864176</t>
  </si>
  <si>
    <t>$ 1.3 billion</t>
  </si>
  <si>
    <t>{"answer_type": null, "candidate_confidence": null, "candidate_id": null, "decision": "rejected", "evidence_claims": [], "evidence_ids": [], "expression": null, "operation": null, "proof_type": null, "reason": "The complete answer is absent from the question-conditioned proof lattice.", "response": "$ 1.3 billion"}</t>
  </si>
  <si>
    <t>Required evidence: table_4: the total of total number of shares purchased ( a ) is 1144772 ; the total of average pricepaid per share is $ 51.42 ; the total of total number of shares purchased as... Selected/output evidence: No accepted proof evidence (The complete answer is absent from the question-conditioned proof lattice.).</t>
  </si>
  <si>
    <t>The system returned '$ 1.3 billion' even though the complete answer was not supported by a valid proof and was not in the certified lattice. The stored reference answer and the multiplication result differ by about $2 million, so this row also needs checking against the original filing.</t>
  </si>
  <si>
    <t>FR-404E031B</t>
  </si>
  <si>
    <t>C/2010/page_223.pdf-3</t>
  </si>
  <si>
    <t>in 2010 what was the percentage change of the carrying amount of loan receivable net of the allowance</t>
  </si>
  <si>
    <t>-52.5%</t>
  </si>
  <si>
    <t>57.9%</t>
  </si>
  <si>
    <t>{"answer_type": null, "candidate_confidence": null, "candidate_id": null, "decision": "rejected", "evidence_claims": [], "evidence_ids": [], "expression": null, "operation": null, "proof_type": null, "reason": "The complete answer is absent from the question-conditioned proof lattice.", "response": "57.9%"}</t>
  </si>
  <si>
    <t>Required evidence: table_1: in millions of dollars the beginning balance of accretable yield is $ 27 ; the beginning balance of carrying amount of loan receivable is $ 920 ; the beginning balance... | table_8: in millions of dollars the balance at december 31 2010 ( 2 ) of accretable yield is $ 116 ; the balance at december 31 2010 ( 2 ) of carrying amount of loan receivable... Selected/output evidence: No accepted proof evidence (The complete answer is absent from the question-conditioned proof lattice.).</t>
  </si>
  <si>
    <t>The system returned '57.9%' even though the complete answer was not supported by a valid proof and was not in the certified lattice.</t>
  </si>
  <si>
    <t>FR-AB5764F9</t>
  </si>
  <si>
    <t>CB/2010/page_200.pdf-1</t>
  </si>
  <si>
    <t>what is the net change in amount of statutory capital and surplus for bermuda subsidiaries in 2010?</t>
  </si>
  <si>
    <t>2634</t>
  </si>
  <si>
    <t>Required evidence: table_1: ( in millions of u.s . dollars ) the statutory capital and surplus of bermuda subsidiaries 2010 is $ 11798 ; the statutory capital and surplus of bermuda subsidiaries ... Selected/output evidence: No accepted proof evidence (The system withheld an answer.).</t>
  </si>
  <si>
    <t>The correct candidate was available, but the system returned INSUFFICIENT_EVIDENCE instead of answering with 2634.</t>
  </si>
  <si>
    <t>FR-00158140</t>
  </si>
  <si>
    <t>PKG/2009/page_65.pdf-4</t>
  </si>
  <si>
    <t>what percentage of total purchase commitments are due after 2014?</t>
  </si>
  <si>
    <t>56%</t>
  </si>
  <si>
    <t>[text:s8:n2]</t>
  </si>
  <si>
    <t>{"answer_type": null, "candidate_confidence": null, "candidate_id": null, "decision": "rejected", "evidence_claims": [], "evidence_ids": [], "expression": null, "operation": null, "proof_type": null, "reason": "The response is not a complete single numeric answer.", "response": "[text:s8:n2]"}</t>
  </si>
  <si>
    <t>Required evidence: table_6: the thereafter of ( in thousands ) is 25048 ; | table_7: the total of ( in thousands ) is $ 44572 ; Selected/output evidence: No accepted proof evidence (The response is not a complete single numeric answer.).</t>
  </si>
  <si>
    <t>The output was not a complete single numeric answer. It returned '[text:s8:n2]', so it could not be evaluated as a valid response.</t>
  </si>
  <si>
    <t>FR-F0FB9CA7</t>
  </si>
  <si>
    <t>CAT/2017/page_85.pdf-3</t>
  </si>
  <si>
    <t>what portion of the maximum exposure to loss from vies is related to guarantees in 2018?</t>
  </si>
  <si>
    <t>29.3%</t>
  </si>
  <si>
    <t>Required evidence: table_5: ( millions of dollars ) the guarantees of december 31 , 2017 is 259 ; the guarantees of december 31 , 2016 is 210 ; | table_6: ( millions of dollars ) the total of december 31 , 2017 is $ 412 ; the total of december 31 , 2016 is $ 716 ; Selected/output evidence: No accepted proof evidence (The system withheld an answer.).</t>
  </si>
  <si>
    <t>The final candidate lattice did not contain the reference answer. The required calculation was divide(210, 716), so the correct value could not be selected.</t>
  </si>
  <si>
    <t>FR-9BC0C9EA</t>
  </si>
  <si>
    <t>JPM/2014/page_65.pdf-1</t>
  </si>
  <si>
    <t>what is the total return of the jpmorgan chase &amp; co . stock over the above refernced five year period?</t>
  </si>
  <si>
    <t>67.48%</t>
  </si>
  <si>
    <t>63</t>
  </si>
  <si>
    <t>direct_0686af5d14b2</t>
  </si>
  <si>
    <t>{"answer_type": "plain", "candidate_confidence": 0.6303381990387807, "candidate_id": "direct_0686af5d14b2", "decision": "accepted", "evidence_claims": [{"base_value": "63", "canonical": "63", "character_end": 42, "character_start": 40, "column_index": null, "column_label": null, "currency": null, "evidence_id": "text:s0:n1", "is_percent": false, "is_year": false, "metric_text": "jpmorgan chase &amp; co./2014 annual report 63 five-year stock performance the following table and graph compare the five-year cumulative total return for jpmorgan chase &amp; co .", "period": "2014", "raw_number": "63", "row_index": null, "row_label": null, "scale": null, "sentence_index": 0, "source_type": "text", "text": "jpmorgan chase &amp; co./2014 annual report 63 five-year stock performance the following table and graph compare the five-year cumulative total return for jpmorgan chase &amp; co .", "value": "63"}], "evidence_ids": ["text:s0:n1"], "expression": "text:s0:n1", "operation": "lookup", "proof_type": "direct", "reason": "The complete answer has a valid question-conditioned provenance proof.", "response": "63"}</t>
  </si>
  <si>
    <t>Required evidence: table_1: december 31 ( in dollars ) the jpmorgan chase of 2009 is $ 100.00 ; the jpmorgan chase of 2010 is $ 102.30 ; the jpmorgan chase of 2011 is $ 81.87 ; the jpmorgan chase... Selected/output evidence: text:s0:n1: text value 63 for 2014 (jpmorgan chase &amp; co./2014 annual report 63 five-year stock performance the following ta...)</t>
  </si>
  <si>
    <t>The question required divide(subtract(167.48, const_100), const_100), but the system treated it as direct_lookup. This produced '63' rather than the requested calculation.</t>
  </si>
  <si>
    <t>FR-4C1A6113</t>
  </si>
  <si>
    <t>IP/2007/page_31.pdf-1</t>
  </si>
  <si>
    <t>what percentage of industrial packaging sales where represented by european industrial packaging net sales in 2007?</t>
  </si>
  <si>
    <t>216.6667%</t>
  </si>
  <si>
    <t>derived_6014c5b5f670</t>
  </si>
  <si>
    <t>{"answer_type": "percentage", "candidate_confidence": 0.8831455210392406, "candidate_id": "derived_6014c5b5f670", "decision": "accepted", "evidence_claims": [{"base_value": "13", "canonical": "13", "character_end": 125, "character_start": 122, "column_index": null, "column_label": null, "currency": null, "evidence_id": "text:s8:n6", "is_percent": true, "is_year": false, "metric_text": "industrial packaging net sales for 2007 increased 6% ( 6 % ) to $ 5.2 billion compared with $ 4.9 bil- lion in 2006 , and 13% ( 13 % ) compared with $ 4.6 billion in 2005 .", "period": "2007", "raw_number": "13%", "row_index": null, "row_label": null, "scale": null, "sentence_index": 8, "source_type": "text", "text": "industrial packaging net sales for 2007 increased 6% ( 6 % ) to $ 5.2 billion compared with $ 4.9 bil- lion in 2006 , and 13% ( 13 % ) compared with $ 4.6 billion in 2005 .", "value": "13"}, {"base_value": "6", "canonical": "6", "character_end": 52, "character_start": 50, "column_index": null, "column_label": null, "currency": null, "evidence_id": "text:s8:n1", "is_percent": true, "is_year": false, "metric_text": "industrial packaging net sales for 2007 increased 6% ( 6 % ) to $ 5.2 billion compared with $ 4.9 bil- lion in 2006 , and 13% ( 13 % ) compared with $ 4.6 billion in 2005 .", "period": "2007", "raw_number": "6%", "row_index": null, "row_label": null, "scale": null, "sentence_index": 8, "source_type": "text", "text": "industrial packaging net sales for 2007 increased 6% ( 6 % ) to $ 5.2 billion compared with $ 4.9 bil- lion in 2006 , and 13% ( 13 % ) compared with $ 4.6 billion in 2005 .", "value": "6"}], "evidence_ids": ["text:s8:n6", "text:s8:n1"], "expression": "(text:s8:n6 / text:s8:n1) * 100", "operation": "division", "proof_type": "derived", "reason": "The complete answer has a valid question-conditioned provenance proof.", "response": "216.6667%"}</t>
  </si>
  <si>
    <t>Required evidence: table_1: in millions the sales of 2007 is $ 5245 ; the sales of 2006 is $ 4925 ; the sales of 2005 is $ 4625 ; | text_29: european industrial packaging net sales for 2007 were $ 1.1 billion , up from $ 1.0 billion in 2006 and $ 880 million in 2005 . Selected/output evidence: text:s8:n6: text value 13 for 2007 (industrial packaging net sales for 2007 increased 6% ( 6 % ) to $ 5.2 billion compared ...) | text:s8:n1: text value 6 for 2007 (industrial packaging net sales for 2007 increased 6% ( 6 % ) to $ 5.2 billion compared ...)</t>
  </si>
  <si>
    <t>The question required divide(multiply(1.1, const_1000), 5245), but the system treated it as ratio. This produced '216.6667%' rather than the requested calculation.</t>
  </si>
  <si>
    <t>FR-65461B2E</t>
  </si>
  <si>
    <t>PKG/2009/page_65.pdf-1</t>
  </si>
  <si>
    <t>purchase commitments ( in thousands ) totaled what for 2010 and 2011?</t>
  </si>
  <si>
    <t>12893</t>
  </si>
  <si>
    <t>5942</t>
  </si>
  <si>
    <t>direct_dfbb6d657052</t>
  </si>
  <si>
    <t>{"answer_type": "plain", "candidate_confidence": 0.7847355053482881, "candidate_id": "direct_dfbb6d657052", "decision": "accepted", "evidence_claims": [{"base_value": "5942000", "canonical": "5942", "character_end": null, "character_start": null, "column_index": 1, "column_label": "(In thousands)", "currency": "USD", "evidence_id": "table:r2:c1:n0", "is_percent": false, "is_year": false, "metric_text": "2011", "period": "2011", "raw_number": "5,942", "row_index": 2, "row_label": "2011", "scale": "thousand", "sentence_index": null, "source_type": "table", "text": "2011 | (In thousands) | 5,942", "value": "5942"}], "evidence_ids": ["table:r2:c1:n0"], "expression": "table:r2:c1:n0", "operation": "lookup", "proof_type": "direct", "reason": "The complete answer has a valid question-conditioned provenance proof.", "response": "5942"}</t>
  </si>
  <si>
    <t>Required evidence: table_1: the 2010 of ( in thousands ) is $ 6951 ; | table_2: the 2011 of ( in thousands ) is 5942 ; Selected/output evidence: table:r2:c1:n0: table row '2011', column '(In thousands)', period 2011 = 5942</t>
  </si>
  <si>
    <t>The question required add(6951, 5942), but the system treated it as direct_lookup. This produced '5942' rather than the requested calculation.</t>
  </si>
  <si>
    <t>FR-2A42689C</t>
  </si>
  <si>
    <t>HII/2017/page_124.pdf-1</t>
  </si>
  <si>
    <t>what portion of the equity compensation plan approved by security holders is to be issued upon the exercise of options warrants and rights?</t>
  </si>
  <si>
    <t>9.9%</t>
  </si>
  <si>
    <t>Number of Securities to be Issued Upon Exercise of Outstanding Options, Warrants and Rights</t>
  </si>
  <si>
    <t>{"answer_type": null, "candidate_confidence": null, "candidate_id": null, "decision": "rejected", "evidence_claims": [], "evidence_ids": [], "expression": null, "operation": null, "proof_type": null, "reason": "The response is not a complete single numeric answer.", "response": "Number of Securities to be Issued Upon Exercise of Outstanding Options, Warrants and Rights"}</t>
  </si>
  <si>
    <t>Required evidence: table_1: plan category the equity compensation plans approved by security holders of number of securities to be issued upon exercise of outstanding options warrants and rights ... Selected/output evidence: No accepted proof evidence (The response is not a complete single numeric answer.).</t>
  </si>
  <si>
    <t>The output was not a complete single numeric answer. It returned 'Number of Securities to be Issued Upon Exercise of Outstanding Options, Warrants and Rights', so it could not be evaluated as a valid response.</t>
  </si>
  <si>
    <t>FR-AC5E8F2E</t>
  </si>
  <si>
    <t>DRE/2013/page_39.pdf-1</t>
  </si>
  <si>
    <t>in 2012 what was the percent of the total second generation capital expenditures by reportable operating segment that was office related</t>
  </si>
  <si>
    <t>47.1%</t>
  </si>
  <si>
    <t>Required evidence: table_2: the office of 2013 is 46600 ; the office of 2012 is 30092 ; the office of 2011 is 63933 ; | table_5: the total of 2013 is $ 91798 ; the total of 2012 is $ 63884 ; the total of 2011 is $ 99264 ; Selected/output evidence: No accepted proof evidence (The system withheld an answer.).</t>
  </si>
  <si>
    <t>The correct candidate was available, but the system returned INSUFFICIENT_EVIDENCE instead of answering with 47.1%.</t>
  </si>
  <si>
    <t>FR-E2E00533</t>
  </si>
  <si>
    <t>77.76</t>
  </si>
  <si>
    <t>derived_eba7080fab6d</t>
  </si>
  <si>
    <t>{"answer_type": "plain", "candidate_confidence": 0.8839635445287491, "candidate_id": "derived_eba7080fab6d", "decision": "accepted", "evidence_claims": [{"base_value": "77.76", "canonical": "77.76", "character_end": 72, "character_start": 65, "column_index": null, "column_label": null, "currency": "USD", "evidence_id": "text:s5:n0", "is_percent": false, "is_year": false, "metric_text": "the average sales price of our refined products in aggregate was $ 77.76 per barrel for 2006 .", "period": "2006", "raw_number": "$ 77.76", "row_index": null, "row_label": null, "scale": null, "sentence_index": 5, "source_type": "text", "text": "the average sales price of our refined products in aggregate was $ 77.76 per barrel for 2006 .", "value": "77.76"}, {"base_value": "77.76", "canonical": "77.76", "character_end": null, "character_start": null, "column_index": 1, "column_label": "2006", "currency": "USD", "evidence_id": "table:r8:c1:n0", "is_percent": false, "is_year": false, "metric_text": "Average sales price ($ per barrel)", "period": "2006", "raw_number": "$77.76", "row_index": 8, "row_label": "Average sales price ($ per barrel)", "scale": null, "sentence_index": null, "source_type": "table", "text": "Average sales price ($ per barrel) | 2006 | $77.76", "value": "77.76"}], "evidence_ids": ["text:s5:n0", "table:r8:c1:n0"], "expression": "(text:s5:n0 + table:r8:c1:n0) / 2", "operation": "average", "proof_type": "derived", "reason": "The complete answer has a valid question-conditioned provenance proof.", "response": "77.76"}</t>
  </si>
  <si>
    <t>Required evidence: table_7: ( thousands of barrels per day ) the total ( a ) of 2006 is 1425 ; the total ( a ) of 2005 is 1455 ; the total ( a ) of 2004 is 1400 ; | table_8: ( thousands of barrels per day ) the average sales price ( $ per barrel ) of 2006 is $ 77.76 ; the average sales price ( $ per barrel ) of 2005 is $ 66.42 ; the averag... Selected/output evidence: text:s5:n0: text value 77.76 for 2006 (the average sales price of our refined products in aggregate was $ 77.76 per barrel for...) | table:r8:c1:n0: table row 'Average sales price ($ per barrel)', column '2006' = 77.76</t>
  </si>
  <si>
    <t>The question required multiply(multiply(1425, 77.76), 365), but the system treated it as average. This produced '77.76' rather than the requested calculation.</t>
  </si>
  <si>
    <t>FR-74C0E7D0</t>
  </si>
  <si>
    <t>PM/2015/page_85.pdf-4</t>
  </si>
  <si>
    <t>what was the change in millions of trade receivables sold from 2014 to 2015?</t>
  </si>
  <si>
    <t>768</t>
  </si>
  <si>
    <t>888</t>
  </si>
  <si>
    <t>direct_c31370c63b50</t>
  </si>
  <si>
    <t>{"answer_type": "plain", "candidate_confidence": 0.6739130428912393, "candidate_id": "direct_c31370c63b50", "decision": "accepted", "evidence_claims": [{"base_value": "888000000", "canonical": "888", "character_end": 138, "character_start": 124, "column_index": null, "column_label": null, "currency": "USD", "evidence_id": "text:s16:n4", "is_percent": false, "is_year": false, "metric_text": "the trade receivables sold that remained outstanding under these arrangements as of december 31 , 2015 , 2014 and 2013 were $ 888 million , $ 120 million and $ 146 million , respectively .", "period": "2015", "raw_number": "$ 888 million", "row_index": null, "row_label": null, "scale": "million", "sentence_index": 16, "source_type": "text", "text": "the trade receivables sold that remained outstanding under these arrangements as of december 31 , 2015 , 2014 and 2013 were $ 888 million , $ 120 million and $ 146 million , respectively .", "value": "888"}], "evidence_ids": ["text:s16:n4"], "expression": "text:s16:n4", "operation": "lookup", "proof_type": "direct", "reason": "The complete answer has a valid question-conditioned provenance proof.", "response": "888"}</t>
  </si>
  <si>
    <t>Required evidence: text_52: the trade receivables sold that remained outstanding under these arrangements as of december 31 , 2015 , 2014 and 2013 were $ 888 million , $ 120 million and $ 146 mil... Selected/output evidence: text:s16:n4: text value 888 for 2015 (the trade receivables sold that remained outstanding under these arrangements as of dec...)</t>
  </si>
  <si>
    <t>The final candidate lattice did not contain the reference answer. The required calculation was subtract(888, 120), so the correct value could not be selected.</t>
  </si>
  <si>
    <t>FR-01B0CFA1</t>
  </si>
  <si>
    <t>LMT/2005/page_40.pdf-1</t>
  </si>
  <si>
    <t>what percent of total commitments expire in less than 1 year?</t>
  </si>
  <si>
    <t>82%</t>
  </si>
  <si>
    <t>direct_7b0e019b18a8</t>
  </si>
  <si>
    <t>{"answer_type": "percentage", "candidate_confidence": 0.46077970602356605, "candidate_id": "direct_7b0e019b18a8", "decision": "accepted", "evidence_claims": [{"base_value": "1000000", "canonical": "1", "character_end": 166, "character_start": 165, "column_index": null, "column_label": null, "currency": "USD", "evidence_id": "text:s5:n2", "is_percent": false, "is_year": false, "metric_text": "at december 31 , 2005 , we had outstanding letters of credit , surety bonds and guarantees , as follows : commitment expiration by period ( in millions ) commitment 1 year ( a ) years ( a ) standby letters of credit $ 2630 $ 2425 $ 171 $ 18 $ 16 .", "period": "2005", "raw_number": "1", "row_index": null, "row_label": null, "scale": "million", "sentence_index": 5, "source_type": "text", "text": "at december 31 , 2005 , we had outstanding letters of credit , surety bonds and guarantees , as follows : commitment expiration by period ( in millions ) commitment 1 year ( a ) years ( a ) standby letters of credit $ 2630 $ 2425 $ 171 $ 18 $ 16 .", "value": "1"}], "evidence_ids": ["text:s5:n2"], "expression": "text:s5:n2", "operation": "lookup", "proof_type": "direct", "reason": "The complete answer has a valid question-conditioned provenance proof.", "response": "1%"}</t>
  </si>
  <si>
    <t>Required evidence: table_4: ( in millions ) the total commitments of commitment expiration by period total commitment is $ 3066 ; the total commitments of commitment expiration by period less tha... Selected/output evidence: text:s5:n2: text value 1 for 2005 (at december 31 , 2005 , we had outstanding letters of credit , surety bonds and guarant...)</t>
  </si>
  <si>
    <t>The question required divide(2505, 3066), but the system treated it as direct_lookup. This produced '1%' rather than the requested calculation.</t>
  </si>
  <si>
    <t>FR-A2350E7B</t>
  </si>
  <si>
    <t>ETR/2008/page_377.pdf-4</t>
  </si>
  <si>
    <t>what percent of the net change in revenue between 2006 and 2007 was due to transmission revenue?</t>
  </si>
  <si>
    <t>15.6%</t>
  </si>
  <si>
    <t>Required evidence: table_1: the 2006 net revenue of amount ( in millions ) is $ 403.3 ; | table_5: the transmission revenue of amount ( in millions ) is 6.1 ; | table_8: the 2007 net revenue of amount ( in millions ) is $ 442.3 ; Selected/output evidence: No accepted proof evidence (The response is not a complete single numeric answer.).</t>
  </si>
  <si>
    <t>FR-2A09F8D7</t>
  </si>
  <si>
    <t>FR-BC0474D3</t>
  </si>
  <si>
    <t>MA/2008/page_126.pdf-1</t>
  </si>
  <si>
    <t>what is the percentage change in total liabilities for litigation settlements from 2006 to 2007?</t>
  </si>
  <si>
    <t>-15.2%</t>
  </si>
  <si>
    <t>0%</t>
  </si>
  <si>
    <t>derived_a8edd52cce63</t>
  </si>
  <si>
    <t>{"answer_type": "percentage", "candidate_confidence": 0.655593044549561, "candidate_id": "derived_a8edd52cce63", "decision": "accepted", "evidence_claims": [{"base_value": "31", "canonical": "31", "character_end": 70, "character_start": 67, "column_index": null, "column_label": null, "currency": null, "evidence_id": "text:s23:n0", "is_percent": false, "is_year": false, "metric_text": "total liabilities for litigation settlements changed from december 31 , 2006 , as follows: .", "period": "2006", "raw_number": "31", "row_index": null, "row_label": null, "scale": null, "sentence_index": 23, "source_type": "text", "text": "total liabilities for litigation settlements changed from december 31 , 2006 , as follows: .", "value": "31"}, {"base_value": "31", "canonical": "31", "character_end": null, "character_start": null, "column_index": 0, "column_label": "Balance as of December 31, 2006", "currency": "USD", "evidence_id": "table:r4:c0:n0", "is_percent": false, "is_year": false, "metric_text": "Balance as of December 31, 2007", "period": "2006", "raw_number": "31", "row_index": 4, "row_label": "Balance as of December 31, 2007", "scale": null, "sentence_index": null, "source_type": "table", "text": "Balance as of December 31, 2007 | Balance as of December 31, 2006 | Balance as of December 31, 2007", "value": "31"}, {"base_value": "31", "canonical": "31", "character_end": 70, "character_start": 67, "column_index": null, "column_label": null, "currency": null, "evidence_id": "text:s23:n0", "is_percent": false, "is_year": false, "metric_text": "total liabilities for litigation settlements changed from december 31 , 2006 , as follows: .", "period": "2006", "raw_number": "31", "row_index": null, "row_label": null, "scale": null, "sentence_index": 23, "source_type": "text", "text": "total liabilities for litigation settlements changed from december 31 , 2006 , as follows: .", "value": "31"}], "evidence_ids": ["text:s23:n0", "table:r4:c0:n0", "text:s23:n0"], "expression": "((text:s23:n0 - table:r4:c0:n0) / text:s23:n0) * 100", "operation": "percentage_change", "proof_type": "derived", "reason": "The complete answer has a valid question-conditioned provenance proof.", "response": "0%"}</t>
  </si>
  <si>
    <t>Required evidence: table_4: balance as of december 31 2006 the balance as of december 31 2007 of $ 476915 is 404436 ; Selected/output evidence: text:s23:n0: text value 31 for 2006 (total liabilities for litigation settlements changed from december 31 , 2006 , as follo...) | table:r4:c0:n0: table row 'Balance as of December 31, 2007', column 'Balance as of December 31, 2006' = 31 | text:s23:n0: text value 31 for 2006 (total liabilities for litigation settlements changed from december 31 , 2006 , as follo...)</t>
  </si>
  <si>
    <t>A date, footnote marker, range label or another nearby number was parsed as an operand. This prevented the correct calculation divide(subtract(404436, 476915), 476915).</t>
  </si>
  <si>
    <t>FR-F48B79DF</t>
  </si>
  <si>
    <t>ZBH/2003/page_40.pdf-1</t>
  </si>
  <si>
    <t>what was the difference in operating profit for the americas as a percentage of net sales between 2001 and 2003?</t>
  </si>
  <si>
    <t>3.8%</t>
  </si>
  <si>
    <t>47.4%</t>
  </si>
  <si>
    <t>direct_c32f9a63aa74</t>
  </si>
  <si>
    <t>{"answer_type": "percentage", "candidate_confidence": 0.6739689295980985, "candidate_id": "direct_c32f9a63aa74", "decision": "accepted", "evidence_claims": [{"base_value": "47.4", "canonical": "47.4", "character_end": 114, "character_start": 102, "column_index": null, "column_label": null, "currency": null, "evidence_id": "text:s5:n2", "is_percent": true, "is_year": false, "metric_text": "operating profit for the americas as a percentage of net sales increased to 48.3 percent in 2002 from 47.4 percent in year ended december 31 , 2003 2001 , reflecting improved gross profit margins due to higher compared to year ended december 31 , 2002 average selling prices and increased sales of higher margin operating profit for the americas as a percentage of net products , and lower selling expenses as a percent of sales sales increased due to improved gross margins driven by due to lower costs associated with the u.s .", "period": "2002", "raw_number": "47.4 percent", "row_index": null, "row_label": null, "scale": null, "sentence_index": 5, "source_type": "text", "text": "operating profit for the americas as a percentage of net sales increased to 48.3 percent in 2002 from 47.4 percent in year ended december 31 , 2003 2001 , reflecting improved gross profit margins due to higher compared to year ended december 31 , 2002 average selling prices and increased sales of higher margin operating profit for the americas as a percentage of net products , and lower selling expenses as a percent of sales sales increased due to improved gross margins driven by due to lower costs associated with the u.s .", "value": "47.4"}], "evidence_ids": ["text:s5:n2"], "expression": "text:s5:n2", "operation": "lookup", "proof_type": "direct", "reason": "The complete answer has a valid question-conditioned provenance proof.", "response": "47.4%"}</t>
  </si>
  <si>
    <t>Required evidence: table_1: year ended december 31 , the americas of 2003 is 51.2% ( 51.2 % ) ; the americas of 2002 is 48.3% ( 48.3 % ) ; the americas of 2001 is 47.4% ( 47.4 % ) ; Selected/output evidence: text:s5:n2: text value 47.4 for 2002 (operating profit for the americas as a percentage of net sales increased to 48.3 percen...)</t>
  </si>
  <si>
    <t>The selected evidence came from the wrong reporting period. The question needed subtract(51.2, 47.4), but the proof used text:s5:n2: text value 47.4 for 2002 (operating profit for the americas as a percentage of net sales increased to 48.3 percen...).</t>
  </si>
  <si>
    <t>FR-97315E75</t>
  </si>
  <si>
    <t>NWS/2016/page_61.pdf-1</t>
  </si>
  <si>
    <t>what on the net interest reduction of 13 million or 23% ( 23 % ) compared to 2015 what was the interest amount in 2016 in millions</t>
  </si>
  <si>
    <t>69.5</t>
  </si>
  <si>
    <t>2015</t>
  </si>
  <si>
    <t>direct_3ea50575bce5</t>
  </si>
  <si>
    <t>{"answer_type": "plain", "candidate_confidence": 0.745216589177493, "candidate_id": "direct_3ea50575bce5", "decision": "accepted", "evidence_claims": [{"base_value": "2015000000", "canonical": "2015", "character_end": null, "character_start": null, "column_index": 2, "column_label": null, "currency": "USD", "evidence_id": "table:r1:c2:n0", "is_percent": false, "is_year": false, "metric_text": "(in millions)", "period": null, "raw_number": "2015", "row_index": 1, "row_label": "(in millions)", "scale": "million", "sentence_index": null, "source_type": "table", "text": "(in millions) |  | 2015", "value": "2015"}], "evidence_ids": ["table:r1:c2:n0"], "expression": "table:r1:c2:n0", "operation": "lookup", "proof_type": "direct", "reason": "The complete answer has a valid question-conditioned provenance proof.", "response": "2015"}</t>
  </si>
  <si>
    <t>Required evidence: text_3: interest , net 2014interest , net for the fiscal year ended june 30 , 2016 decreased $ 13 million , or 23% ( 23 % ) , as compared to fiscal 2015 , primarily due to the... Selected/output evidence: table:r1:c2:n0: table row '(in millions)' = 2015</t>
  </si>
  <si>
    <t>The final candidate lattice did not contain the reference answer. The required calculation was add(divide(13, 23%), 13), so the correct value could not be selected.</t>
  </si>
  <si>
    <t>FR-5CE0EA19</t>
  </si>
  <si>
    <t>UNP/2011/page_76.pdf-4</t>
  </si>
  <si>
    <t>what percentage of total accounts payable and other current liabilities was accrued casualty costs at december 31 , 2011?</t>
  </si>
  <si>
    <t>574%</t>
  </si>
  <si>
    <t>derived_e6331b9431a3</t>
  </si>
  <si>
    <t>{"answer_type": "percentage", "candidate_confidence": 0.9138683976203826, "candidate_id": "derived_e6331b9431a3", "decision": "accepted", "evidence_claims": [{"base_value": "325", "canonical": "325", "character_end": null, "character_start": null, "column_index": 2, "column_label": "&lt;i&gt;Dec. 31, 2010&lt;/i&gt;", "currency": null, "evidence_id": "table:r5:c2:n0", "is_percent": false, "is_year": false, "metric_text": "Accrued casualty costs", "period": "2010", "raw_number": "325", "row_index": 5, "row_label": "Accrued casualty costs", "scale": null, "sentence_index": null, "source_type": "table", "text": "Accrued casualty costs | &lt;i&gt;Dec. 31, 2010&lt;/i&gt; | 325", "value": "325"}, {"base_value": "249", "canonical": "249", "character_end": null, "character_start": null, "column_index": 1, "column_label": "&lt;i&gt;Dec. 31, 2011&lt;/i&gt;", "currency": null, "evidence_id": "table:r5:c1:n0", "is_percent": false, "is_year": false, "metric_text": "Accrued casualty costs", "period": "2011", "raw_number": "249", "row_index": 5, "row_label": "Accrued casualty costs", "scale": null, "sentence_index": null, "source_type": "table", "text": "Accrued casualty costs | &lt;i&gt;Dec. 31, 2011&lt;/i&gt; | 249", "value": "249"}], "evidence_ids": ["table:r5:c2:n0", "table:r5:c1:n0"], "expression": "table:r5:c2:n0 + table:r5:c1:n0", "operation": "addition", "proof_type": "derived", "reason": "The complete answer has a valid question-conditioned provenance proof.", "response": "574%"}</t>
  </si>
  <si>
    <t>Required evidence: table_5: millions the accrued casualty costs of dec . 31 2011 is 249 ; the accrued casualty costs of dec . 31 2010 is 325 ; | table_9: millions the total accounts payable and othercurrent liabilities of dec . 31 2011 is $ 3108 ; the total accounts payable and othercurrent liabilities of dec . 31 2010 ... Selected/output evidence: table:r5:c2:n0: table row 'Accrued casualty costs', column '&lt;i&gt;Dec. 31, 2010&lt;/i&gt;' = 325 | table:r5:c1:n0: table row 'Accrued casualty costs', column '&lt;i&gt;Dec. 31, 2011&lt;/i&gt;' = 249</t>
  </si>
  <si>
    <t>The correct operation was available, but the proof used the wrong value or row for one of the required roles. It selected table:r5:c2:n0: table row 'Accrued casualty costs', column '&lt;i&gt;Dec. 31, 2010&lt;/i&gt;' = 325 | table:r5:c1:n0: table row 'Accrued casualty costs', column '&lt;i&gt;Dec. 31, 2011&lt;/i&gt;' = 249 instead of using divide(249, 3108).</t>
  </si>
  <si>
    <t>FR-53AC51B0</t>
  </si>
  <si>
    <t>ETR/2002/page_24.pdf-4</t>
  </si>
  <si>
    <t>what is the percent change in operating revenues from 2001 to 2002?</t>
  </si>
  <si>
    <t>192%</t>
  </si>
  <si>
    <t>direct_f3b9f6e3ea11</t>
  </si>
  <si>
    <t>{"answer_type": "percentage", "candidate_confidence": 0.18902417024227255, "candidate_id": "direct_f3b9f6e3ea11", "decision": "accepted", "evidence_claims": [{"base_value": "1", "canonical": "1", "character_end": 195, "character_start": 194, "column_index": null, "column_label": null, "currency": null, "evidence_id": "text:s0:n2", "is_percent": false, "is_year": false, "metric_text": "entergy corporation and subsidiaries management's financial discussion and analysis the decrease in interest income in 2002 was primarily due to : fffd interest recognized in 2001 on grand gulf 1's decommissioning trust funds resulting from the final order addressing system energy's rate proceeding ; fffd interest recognized in 2001 at entergy mississippi and entergy new orleans on the deferred system energy costs that were not being recovered through rates ; and fffd lower interest earned on declining deferred fuel balances .", "period": "2002", "raw_number": "1", "row_index": null, "row_label": null, "scale": null, "sentence_index": 0, "source_type": "text", "text": "entergy corporation and subsidiaries management's financial discussion and analysis the decrease in interest income in 2002 was primarily due to : fffd interest recognized in 2001 on grand gulf 1's decommissioning trust funds resulting from the final order addressing system energy's rate proceeding ; fffd interest recognized in 2001 at entergy mississippi and entergy new orleans on the deferred system energy costs that were not being recovered through rates ; and fffd lower interest earned on declining deferred fuel balances .", "value": "1"}], "evidence_ids": ["text:s0:n2"], "expression": "text:s0:n2", "operation": "lookup", "proof_type": "direct", "reason": "The complete answer has a valid question-conditioned provenance proof.", "response": "1%"}</t>
  </si>
  <si>
    <t>Required evidence: text_7: following are key performance measures for non-utility nuclear: . | text_8: 2002 compared to 2001 the following fluctuations in the results of operations for non-utility nuclear in 2002 were primarily caused by the acquisitions of indian point... Selected/output evidence: text:s0:n2: text value 1 for 2002 (entergy corporation and subsidiaries management's financial discussion and analysis the...)</t>
  </si>
  <si>
    <t>Not all values needed for divide(subtract(multiply(1.2, const_1000), 411.0), 411.0) were retained in the retrieved evidence, so the correct candidate was not built.</t>
  </si>
  <si>
    <t>FR-EA9C07F4</t>
  </si>
  <si>
    <t>AAP/2011/page_28.pdf-2</t>
  </si>
  <si>
    <t>what is the roi of an investment in s&amp;p500 index from 2006 to january 3 , 2009?</t>
  </si>
  <si>
    <t>-34.3%</t>
  </si>
  <si>
    <t>88.67</t>
  </si>
  <si>
    <t>derived_7454b4bae734</t>
  </si>
  <si>
    <t>{"answer_type": "percentage", "candidate_confidence": 0.6697601900189628, "candidate_id": "derived_7454b4bae734", "decision": "accepted", "evidence_claims": [{"base_value": "500", "canonical": "500", "character_end": null, "character_start": null, "column_index": 0, "column_label": "Company/Index", "currency": "USD", "evidence_id": "table:r2:c0:n0", "is_percent": false, "is_year": false, "metric_text": "S&amp;P 500 Index", "period": null, "raw_number": "500", "row_index": 2, "row_label": "S&amp;P 500 Index", "scale": null, "sentence_index": null, "source_type": "table", "text": "S&amp;P 500 Index | Company/Index | S&amp;P 500 Index", "value": "500"}, {"base_value": "58.29", "canonical": "58.29", "character_end": null, "character_start": null, "column_index": 3, "column_label": "January 3, 2009", "currency": "USD", "evidence_id": "table:r3:c3:n0", "is_percent": false, "is_year": false, "metric_text": "S&amp;P Retail Index", "period": "2009", "raw_number": "58.29", "row_index": 3, "row_label": "S&amp;P Retail Index", "scale": null, "sentence_index": null, "source_type": "table", "text": "S&amp;P Retail Index | January 3, 2009 | 58.29", "value": "58.29"}, {"base_value": "500", "canonical": "500", "character_end": null, "character_start": null, "column_index": 0, "column_label": "Company/Index", "currency": "USD", "evidence_id": "table:r2:c0:n0", "is_percent": false, "is_year": false, "metric_text": "S&amp;P 500 Index", "period": null, "raw_number": "500", "row_index": 2, "row_label": "S&amp;P 500 Index", "scale": null, "sentence_index": null, "source_type": "table", "text": "S&amp;P 500 Index | Company/Index | S&amp;P 500 Index", "value": "500"}], "evidence_ids": ["table:r2:c0:n0", "table:r3:c3:n0", "table:r2:c0:n0"], "expression": "((table:r2:c0:n0 - table:r3:c3:n0) / table:r2:c0:n0) * 100", "operation": "percentage_change", "proof_type": "derived", "reason": "The complete answer has a valid question-conditioned provenance proof.", "response": "88.67"}</t>
  </si>
  <si>
    <t>Required evidence: table_2: company/index the s&amp;p 500 index of december 30 2006 is 100.00 ; the s&amp;p 500 index of december 29 2007 is 104.24 ; the s&amp;p 500 index of january 3 2009 is 65.70 ; the s&amp;... Selected/output evidence: table:r2:c0:n0: table row 'S&amp;P 500 Index', column 'Company/Index' = 500 | table:r3:c3:n0: table row 'S&amp;P Retail Index', column 'January 3, 2009' = 58.29 | table:r2:c0:n0: table row 'S&amp;P 500 Index', column 'Company/Index' = 500</t>
  </si>
  <si>
    <t>The correct operation was available, but the proof used the wrong value or row for one of the required roles. It selected table:r2:c0:n0: table row 'S&amp;P 500 Index', column 'Company/Index' = 500 | table:r3:c3:n0: table row 'S&amp;P Retail Index', column 'January 3, 2009' = 58.29 | table:r2:c0:n0: table row 'S&amp;P 500 Index', column 'Company/Index' = 500 instead of using divide(subtract(65.70, const_100), const_100).</t>
  </si>
  <si>
    <t>Manual Failure Analysis Summary</t>
  </si>
  <si>
    <t>Measure</t>
  </si>
  <si>
    <t>Value</t>
  </si>
  <si>
    <t>Cases reviewed</t>
  </si>
  <si>
    <t>Unique FinQA examples</t>
  </si>
  <si>
    <t>Second-pass checks completed</t>
  </si>
  <si>
    <t>Cases requiring final student check</t>
  </si>
  <si>
    <t>Failure category</t>
  </si>
  <si>
    <t>Count</t>
  </si>
  <si>
    <t>Percentage</t>
  </si>
  <si>
    <t>Reviewer confidence</t>
  </si>
  <si>
    <t>Second-review status</t>
  </si>
  <si>
    <t>Review approach: each case was checked against the original FinQA question, reference answer, source table or text, reference program, model output and proof certificate. Low-confidence annotation cases are listed separately for a final personal check.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</si>
</sst>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%"/>
  </numFmts>
  <fonts count="6" x14ac:knownFonts="1">
    <font>
      <sz val="11"/>
      <color theme="1"/>
      <name val="Calibri"/>
    </font>
    <font>
      <b/>
      <sz val="10"/>
      <color rgb="FFFFFFFF"/>
      <name val="Calibri"/>
      <family val="2"/>
    </font>
    <font>
      <b/>
      <sz val="15"/>
      <color rgb="FFFFFFFF"/>
      <name val="Calibri"/>
      <family val="2"/>
    </font>
    <font>
      <b/>
      <sz val="11"/>
      <color rgb="FF1F1F1F"/>
      <name val="Calibri"/>
      <family val="2"/>
    </font>
    <font>
      <b/>
      <sz val="11"/>
      <color rgb="FFFFFFFF"/>
      <name val="Calibri"/>
      <family val="2"/>
    </font>
    <font>
      <i/>
      <sz val="11"/>
      <color rgb="FF5F5F5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7FBFF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9C0006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0" fillId="3" borderId="0" xfId="0" applyFill="1" applyAlignment="1">
      <alignment vertical="top"/>
    </xf>
    <xf numFmtId="164" fontId="0" fillId="0" borderId="0" xfId="0" applyNumberFormat="1" applyAlignment="1">
      <alignment vertical="top"/>
    </xf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4" fillId="5" borderId="0" xfId="0" applyFont="1" applyFill="1"/>
    <xf numFmtId="0" fontId="4" fillId="5" borderId="0" xfId="0" applyFont="1" applyFill="1" applyAlignment="1">
      <alignment horizontal="center"/>
    </xf>
    <xf numFmtId="165" fontId="0" fillId="0" borderId="0" xfId="0" applyNumberFormat="1"/>
    <xf numFmtId="0" fontId="4" fillId="7" borderId="0" xfId="0" applyFont="1" applyFill="1" applyAlignment="1">
      <alignment wrapText="1"/>
    </xf>
    <xf numFmtId="0" fontId="2" fillId="2" borderId="0" xfId="0" applyFont="1" applyFill="1" applyAlignment="1">
      <alignment horizontal="center" vertical="center"/>
    </xf>
    <xf numFmtId="0" fontId="5" fillId="6" borderId="0" xfId="0" applyFont="1" applyFill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5">
    <dxf>
      <font>
        <color rgb="FF274E13"/>
      </font>
      <fill>
        <patternFill patternType="solid">
          <bgColor rgb="FFD9EAD3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t>Failure categories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'Review Summary'!$A$11:$A$24</c:f>
              <c:strCache>
                <c:ptCount val="14"/>
                <c:pt idx="0">
                  <c:v>candidate_recall_failure</c:v>
                </c:pt>
                <c:pt idx="1">
                  <c:v>operation_schema_error</c:v>
                </c:pt>
                <c:pt idx="2">
                  <c:v>over_refusal</c:v>
                </c:pt>
                <c:pt idx="3">
                  <c:v>invalid_or_fragmentary_response</c:v>
                </c:pt>
                <c:pt idx="4">
                  <c:v>under_refusal</c:v>
                </c:pt>
                <c:pt idx="5">
                  <c:v>retrieval_missing_support</c:v>
                </c:pt>
                <c:pt idx="6">
                  <c:v>metric_role_error</c:v>
                </c:pt>
                <c:pt idx="7">
                  <c:v>numeric_span_extraction</c:v>
                </c:pt>
                <c:pt idx="8">
                  <c:v>annotation_issue</c:v>
                </c:pt>
                <c:pt idx="9">
                  <c:v>retrieval_wrong_metric</c:v>
                </c:pt>
                <c:pt idx="10">
                  <c:v>retrieval_wrong_period</c:v>
                </c:pt>
                <c:pt idx="11">
                  <c:v>scale_or_currency_extraction</c:v>
                </c:pt>
                <c:pt idx="12">
                  <c:v>Review approach: each case was checked against the original FinQA question, reference answer, source table or text, reference program, model output and proof certificate. Low-confidence annotation cases are listed separately for a final personal check.</c:v>
                </c:pt>
                <c:pt idx="13">
                  <c:v>rounding_tolerance_error</c:v>
                </c:pt>
              </c:strCache>
            </c:strRef>
          </c:cat>
          <c:val>
            <c:numRef>
              <c:f>'Review Summary'!$B$11:$B$24</c:f>
              <c:numCache>
                <c:formatCode>General</c:formatCode>
                <c:ptCount val="14"/>
                <c:pt idx="0">
                  <c:v>26</c:v>
                </c:pt>
                <c:pt idx="1">
                  <c:v>25</c:v>
                </c:pt>
                <c:pt idx="2">
                  <c:v>16</c:v>
                </c:pt>
                <c:pt idx="3">
                  <c:v>14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A1-4B4E-B9EF-EA710212D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ailureReviewTable" displayName="FailureReviewTable" ref="A1:P121">
  <tableColumns count="16">
    <tableColumn id="1" xr3:uid="{00000000-0010-0000-0000-000001000000}" name="review_case_id"/>
    <tableColumn id="2" xr3:uid="{00000000-0010-0000-0000-000002000000}" name="example_id"/>
    <tableColumn id="3" xr3:uid="{00000000-0010-0000-0000-000003000000}" name="question"/>
    <tableColumn id="4" xr3:uid="{00000000-0010-0000-0000-000004000000}" name="reference_answer"/>
    <tableColumn id="5" xr3:uid="{00000000-0010-0000-0000-000005000000}" name="model_response"/>
    <tableColumn id="6" xr3:uid="{00000000-0010-0000-0000-000006000000}" name="candidate_recall"/>
    <tableColumn id="7" xr3:uid="{00000000-0010-0000-0000-000007000000}" name="proof_valid"/>
    <tableColumn id="8" xr3:uid="{00000000-0010-0000-0000-000008000000}" name="unsupported_complete_answer"/>
    <tableColumn id="9" xr3:uid="{00000000-0010-0000-0000-000009000000}" name="selected_candidate_id"/>
    <tableColumn id="10" xr3:uid="{00000000-0010-0000-0000-00000A000000}" name="selected_candidate_confidence"/>
    <tableColumn id="11" xr3:uid="{00000000-0010-0000-0000-00000B000000}" name="proof_certificate"/>
    <tableColumn id="12" xr3:uid="{00000000-0010-0000-0000-00000C000000}" name="manual_category"/>
    <tableColumn id="13" xr3:uid="{00000000-0010-0000-0000-00000D000000}" name="manual_evidence_location"/>
    <tableColumn id="14" xr3:uid="{00000000-0010-0000-0000-00000E000000}" name="manual_notes"/>
    <tableColumn id="15" xr3:uid="{00000000-0010-0000-0000-00000F000000}" name="reviewer_confidence"/>
    <tableColumn id="16" xr3:uid="{00000000-0010-0000-0000-000010000000}" name="second_review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1"/>
  <sheetViews>
    <sheetView tabSelected="1" workbookViewId="0"/>
  </sheetViews>
  <sheetFormatPr baseColWidth="10" defaultColWidth="8.83203125" defaultRowHeight="15" x14ac:dyDescent="0.2"/>
  <cols>
    <col min="1" max="1" width="16" customWidth="1"/>
    <col min="2" max="2" width="27" customWidth="1"/>
    <col min="3" max="3" width="46" customWidth="1"/>
    <col min="4" max="4" width="15" customWidth="1"/>
    <col min="5" max="5" width="20" customWidth="1"/>
    <col min="6" max="8" width="12" customWidth="1"/>
    <col min="9" max="9" width="22" customWidth="1"/>
    <col min="10" max="10" width="15" customWidth="1"/>
    <col min="11" max="11" width="42" customWidth="1"/>
    <col min="12" max="12" width="28" customWidth="1"/>
    <col min="13" max="13" width="50" customWidth="1"/>
    <col min="14" max="14" width="54" customWidth="1"/>
    <col min="15" max="15" width="16" customWidth="1"/>
    <col min="16" max="16" width="18" customWidth="1"/>
  </cols>
  <sheetData>
    <row r="1" spans="1:16" ht="45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72" customHeight="1" x14ac:dyDescent="0.2">
      <c r="A2" s="2" t="s">
        <v>16</v>
      </c>
      <c r="B2" s="2" t="s">
        <v>17</v>
      </c>
      <c r="C2" s="3" t="s">
        <v>18</v>
      </c>
      <c r="D2" s="2" t="s">
        <v>19</v>
      </c>
      <c r="E2" s="2" t="s">
        <v>20</v>
      </c>
      <c r="F2" s="2" t="b">
        <v>1</v>
      </c>
      <c r="G2" s="2" t="b">
        <v>1</v>
      </c>
      <c r="H2" s="2" t="b">
        <v>0</v>
      </c>
      <c r="I2" s="2" t="s">
        <v>21</v>
      </c>
      <c r="J2" s="6">
        <v>0.95000004998045195</v>
      </c>
      <c r="K2" s="3" t="s">
        <v>22</v>
      </c>
      <c r="L2" s="4" t="s">
        <v>23</v>
      </c>
      <c r="M2" s="4" t="s">
        <v>24</v>
      </c>
      <c r="N2" s="4" t="s">
        <v>25</v>
      </c>
      <c r="O2" s="5" t="s">
        <v>26</v>
      </c>
      <c r="P2" s="5" t="s">
        <v>27</v>
      </c>
    </row>
    <row r="3" spans="1:16" ht="72" customHeight="1" x14ac:dyDescent="0.2">
      <c r="A3" s="2" t="s">
        <v>28</v>
      </c>
      <c r="B3" s="2" t="s">
        <v>29</v>
      </c>
      <c r="C3" s="3" t="s">
        <v>30</v>
      </c>
      <c r="D3" s="2" t="s">
        <v>31</v>
      </c>
      <c r="E3" s="2" t="s">
        <v>32</v>
      </c>
      <c r="F3" s="2" t="b">
        <v>0</v>
      </c>
      <c r="G3" s="2" t="b">
        <v>0</v>
      </c>
      <c r="H3" s="2" t="b">
        <v>1</v>
      </c>
      <c r="I3" s="2" t="s">
        <v>33</v>
      </c>
      <c r="J3" s="6" t="s">
        <v>33</v>
      </c>
      <c r="K3" s="3" t="s">
        <v>34</v>
      </c>
      <c r="L3" s="4" t="s">
        <v>35</v>
      </c>
      <c r="M3" s="4" t="s">
        <v>36</v>
      </c>
      <c r="N3" s="4" t="s">
        <v>37</v>
      </c>
      <c r="O3" s="5" t="s">
        <v>26</v>
      </c>
      <c r="P3" s="5" t="s">
        <v>27</v>
      </c>
    </row>
    <row r="4" spans="1:16" ht="72" customHeight="1" x14ac:dyDescent="0.2">
      <c r="A4" s="2" t="s">
        <v>38</v>
      </c>
      <c r="B4" s="2" t="s">
        <v>39</v>
      </c>
      <c r="C4" s="3" t="s">
        <v>40</v>
      </c>
      <c r="D4" s="2" t="s">
        <v>41</v>
      </c>
      <c r="E4" s="2" t="s">
        <v>42</v>
      </c>
      <c r="F4" s="2" t="b">
        <v>0</v>
      </c>
      <c r="G4" s="2" t="b">
        <v>1</v>
      </c>
      <c r="H4" s="2" t="b">
        <v>0</v>
      </c>
      <c r="I4" s="2" t="s">
        <v>43</v>
      </c>
      <c r="J4" s="6">
        <v>0.82448908945432886</v>
      </c>
      <c r="K4" s="3" t="s">
        <v>44</v>
      </c>
      <c r="L4" s="4" t="s">
        <v>45</v>
      </c>
      <c r="M4" s="4" t="s">
        <v>46</v>
      </c>
      <c r="N4" s="4" t="s">
        <v>47</v>
      </c>
      <c r="O4" s="5" t="s">
        <v>26</v>
      </c>
      <c r="P4" s="5" t="s">
        <v>27</v>
      </c>
    </row>
    <row r="5" spans="1:16" ht="72" customHeight="1" x14ac:dyDescent="0.2">
      <c r="A5" s="2" t="s">
        <v>48</v>
      </c>
      <c r="B5" s="2" t="s">
        <v>49</v>
      </c>
      <c r="C5" s="3" t="s">
        <v>50</v>
      </c>
      <c r="D5" s="2" t="s">
        <v>51</v>
      </c>
      <c r="E5" s="2" t="s">
        <v>52</v>
      </c>
      <c r="F5" s="2" t="b">
        <v>1</v>
      </c>
      <c r="G5" s="2" t="b">
        <v>1</v>
      </c>
      <c r="H5" s="2" t="b">
        <v>0</v>
      </c>
      <c r="I5" s="2" t="s">
        <v>53</v>
      </c>
      <c r="J5" s="6">
        <v>0.39048658557881849</v>
      </c>
      <c r="K5" s="3" t="s">
        <v>54</v>
      </c>
      <c r="L5" s="4" t="s">
        <v>55</v>
      </c>
      <c r="M5" s="4" t="s">
        <v>56</v>
      </c>
      <c r="N5" s="4" t="s">
        <v>57</v>
      </c>
      <c r="O5" s="5" t="s">
        <v>58</v>
      </c>
      <c r="P5" s="5" t="s">
        <v>59</v>
      </c>
    </row>
    <row r="6" spans="1:16" ht="72" customHeight="1" x14ac:dyDescent="0.2">
      <c r="A6" s="2" t="s">
        <v>60</v>
      </c>
      <c r="B6" s="2" t="s">
        <v>61</v>
      </c>
      <c r="C6" s="3" t="s">
        <v>62</v>
      </c>
      <c r="D6" s="2" t="s">
        <v>63</v>
      </c>
      <c r="E6" s="2" t="s">
        <v>64</v>
      </c>
      <c r="F6" s="2" t="b">
        <v>1</v>
      </c>
      <c r="G6" s="2" t="b">
        <v>1</v>
      </c>
      <c r="H6" s="2" t="b">
        <v>0</v>
      </c>
      <c r="I6" s="2" t="s">
        <v>65</v>
      </c>
      <c r="J6" s="6">
        <v>0.64059124413294266</v>
      </c>
      <c r="K6" s="3" t="s">
        <v>66</v>
      </c>
      <c r="L6" s="4" t="s">
        <v>45</v>
      </c>
      <c r="M6" s="4" t="s">
        <v>67</v>
      </c>
      <c r="N6" s="4" t="s">
        <v>68</v>
      </c>
      <c r="O6" s="5" t="s">
        <v>26</v>
      </c>
      <c r="P6" s="5" t="s">
        <v>27</v>
      </c>
    </row>
    <row r="7" spans="1:16" ht="72" customHeight="1" x14ac:dyDescent="0.2">
      <c r="A7" s="2" t="s">
        <v>69</v>
      </c>
      <c r="B7" s="2" t="s">
        <v>70</v>
      </c>
      <c r="C7" s="3" t="s">
        <v>71</v>
      </c>
      <c r="D7" s="2" t="s">
        <v>72</v>
      </c>
      <c r="E7" s="2" t="s">
        <v>73</v>
      </c>
      <c r="F7" s="2" t="b">
        <v>1</v>
      </c>
      <c r="G7" s="2" t="b">
        <v>0</v>
      </c>
      <c r="H7" s="2" t="b">
        <v>0</v>
      </c>
      <c r="I7" s="2" t="s">
        <v>33</v>
      </c>
      <c r="J7" s="6" t="s">
        <v>33</v>
      </c>
      <c r="K7" s="3" t="s">
        <v>74</v>
      </c>
      <c r="L7" s="4" t="s">
        <v>75</v>
      </c>
      <c r="M7" s="4" t="s">
        <v>76</v>
      </c>
      <c r="N7" s="4" t="s">
        <v>77</v>
      </c>
      <c r="O7" s="5" t="s">
        <v>26</v>
      </c>
      <c r="P7" s="5" t="s">
        <v>27</v>
      </c>
    </row>
    <row r="8" spans="1:16" ht="72" customHeight="1" x14ac:dyDescent="0.2">
      <c r="A8" s="2" t="s">
        <v>78</v>
      </c>
      <c r="B8" s="2" t="s">
        <v>79</v>
      </c>
      <c r="C8" s="3" t="s">
        <v>80</v>
      </c>
      <c r="D8" s="2" t="s">
        <v>81</v>
      </c>
      <c r="E8" s="2" t="s">
        <v>82</v>
      </c>
      <c r="F8" s="2" t="b">
        <v>0</v>
      </c>
      <c r="G8" s="2" t="b">
        <v>1</v>
      </c>
      <c r="H8" s="2" t="b">
        <v>0</v>
      </c>
      <c r="I8" s="2" t="s">
        <v>83</v>
      </c>
      <c r="J8" s="6">
        <v>0.12517924703910821</v>
      </c>
      <c r="K8" s="3" t="s">
        <v>84</v>
      </c>
      <c r="L8" s="4" t="s">
        <v>85</v>
      </c>
      <c r="M8" s="4" t="s">
        <v>86</v>
      </c>
      <c r="N8" s="4" t="s">
        <v>87</v>
      </c>
      <c r="O8" s="5" t="s">
        <v>58</v>
      </c>
      <c r="P8" s="5" t="s">
        <v>59</v>
      </c>
    </row>
    <row r="9" spans="1:16" ht="72" customHeight="1" x14ac:dyDescent="0.2">
      <c r="A9" s="2" t="s">
        <v>88</v>
      </c>
      <c r="B9" s="2" t="s">
        <v>89</v>
      </c>
      <c r="C9" s="3" t="s">
        <v>90</v>
      </c>
      <c r="D9" s="2" t="s">
        <v>91</v>
      </c>
      <c r="E9" s="2" t="s">
        <v>52</v>
      </c>
      <c r="F9" s="2" t="b">
        <v>0</v>
      </c>
      <c r="G9" s="2" t="b">
        <v>1</v>
      </c>
      <c r="H9" s="2" t="b">
        <v>0</v>
      </c>
      <c r="I9" s="2" t="s">
        <v>92</v>
      </c>
      <c r="J9" s="6">
        <v>0.83801449361007718</v>
      </c>
      <c r="K9" s="3" t="s">
        <v>93</v>
      </c>
      <c r="L9" s="4" t="s">
        <v>94</v>
      </c>
      <c r="M9" s="4" t="s">
        <v>95</v>
      </c>
      <c r="N9" s="4" t="s">
        <v>96</v>
      </c>
      <c r="O9" s="5" t="s">
        <v>58</v>
      </c>
      <c r="P9" s="5" t="s">
        <v>59</v>
      </c>
    </row>
    <row r="10" spans="1:16" ht="72" customHeight="1" x14ac:dyDescent="0.2">
      <c r="A10" s="2" t="s">
        <v>97</v>
      </c>
      <c r="B10" s="2" t="s">
        <v>98</v>
      </c>
      <c r="C10" s="3" t="s">
        <v>99</v>
      </c>
      <c r="D10" s="2" t="s">
        <v>100</v>
      </c>
      <c r="E10" s="2" t="s">
        <v>101</v>
      </c>
      <c r="F10" s="2" t="b">
        <v>0</v>
      </c>
      <c r="G10" s="2" t="b">
        <v>1</v>
      </c>
      <c r="H10" s="2" t="b">
        <v>0</v>
      </c>
      <c r="I10" s="2" t="s">
        <v>102</v>
      </c>
      <c r="J10" s="6">
        <v>0.8403712188850242</v>
      </c>
      <c r="K10" s="3" t="s">
        <v>103</v>
      </c>
      <c r="L10" s="4" t="s">
        <v>45</v>
      </c>
      <c r="M10" s="4" t="s">
        <v>104</v>
      </c>
      <c r="N10" s="4" t="s">
        <v>105</v>
      </c>
      <c r="O10" s="5" t="s">
        <v>26</v>
      </c>
      <c r="P10" s="5" t="s">
        <v>27</v>
      </c>
    </row>
    <row r="11" spans="1:16" ht="72" customHeight="1" x14ac:dyDescent="0.2">
      <c r="A11" s="2" t="s">
        <v>106</v>
      </c>
      <c r="B11" s="2" t="s">
        <v>107</v>
      </c>
      <c r="C11" s="3" t="s">
        <v>108</v>
      </c>
      <c r="D11" s="2" t="s">
        <v>109</v>
      </c>
      <c r="E11" s="2" t="s">
        <v>110</v>
      </c>
      <c r="F11" s="2" t="b">
        <v>0</v>
      </c>
      <c r="G11" s="2" t="b">
        <v>1</v>
      </c>
      <c r="H11" s="2" t="b">
        <v>0</v>
      </c>
      <c r="I11" s="2" t="s">
        <v>111</v>
      </c>
      <c r="J11" s="6">
        <v>0.60729492495303539</v>
      </c>
      <c r="K11" s="3" t="s">
        <v>112</v>
      </c>
      <c r="L11" s="4" t="s">
        <v>85</v>
      </c>
      <c r="M11" s="4" t="s">
        <v>113</v>
      </c>
      <c r="N11" s="4" t="s">
        <v>114</v>
      </c>
      <c r="O11" s="5" t="s">
        <v>58</v>
      </c>
      <c r="P11" s="5" t="s">
        <v>59</v>
      </c>
    </row>
    <row r="12" spans="1:16" ht="72" customHeight="1" x14ac:dyDescent="0.2">
      <c r="A12" s="2" t="s">
        <v>115</v>
      </c>
      <c r="B12" s="2" t="s">
        <v>116</v>
      </c>
      <c r="C12" s="3" t="s">
        <v>117</v>
      </c>
      <c r="D12" s="2" t="s">
        <v>118</v>
      </c>
      <c r="E12" s="2" t="s">
        <v>119</v>
      </c>
      <c r="F12" s="2" t="b">
        <v>0</v>
      </c>
      <c r="G12" s="2" t="b">
        <v>1</v>
      </c>
      <c r="H12" s="2" t="b">
        <v>0</v>
      </c>
      <c r="I12" s="2" t="s">
        <v>120</v>
      </c>
      <c r="J12" s="6">
        <v>0.85670522447695507</v>
      </c>
      <c r="K12" s="3" t="s">
        <v>121</v>
      </c>
      <c r="L12" s="4" t="s">
        <v>122</v>
      </c>
      <c r="M12" s="4" t="s">
        <v>123</v>
      </c>
      <c r="N12" s="4" t="s">
        <v>124</v>
      </c>
      <c r="O12" s="5" t="s">
        <v>26</v>
      </c>
      <c r="P12" s="5" t="s">
        <v>27</v>
      </c>
    </row>
    <row r="13" spans="1:16" ht="72" customHeight="1" x14ac:dyDescent="0.2">
      <c r="A13" s="2" t="s">
        <v>125</v>
      </c>
      <c r="B13" s="2" t="s">
        <v>126</v>
      </c>
      <c r="C13" s="3" t="s">
        <v>127</v>
      </c>
      <c r="D13" s="2" t="s">
        <v>128</v>
      </c>
      <c r="E13" s="2" t="s">
        <v>129</v>
      </c>
      <c r="F13" s="2" t="b">
        <v>0</v>
      </c>
      <c r="G13" s="2" t="b">
        <v>0</v>
      </c>
      <c r="H13" s="2" t="b">
        <v>0</v>
      </c>
      <c r="I13" s="2" t="s">
        <v>130</v>
      </c>
      <c r="J13" s="6">
        <v>0</v>
      </c>
      <c r="K13" s="3" t="s">
        <v>131</v>
      </c>
      <c r="L13" s="4" t="s">
        <v>85</v>
      </c>
      <c r="M13" s="4" t="s">
        <v>132</v>
      </c>
      <c r="N13" s="4" t="s">
        <v>133</v>
      </c>
      <c r="O13" s="5" t="s">
        <v>58</v>
      </c>
      <c r="P13" s="5" t="s">
        <v>59</v>
      </c>
    </row>
    <row r="14" spans="1:16" ht="72" customHeight="1" x14ac:dyDescent="0.2">
      <c r="A14" s="2" t="s">
        <v>134</v>
      </c>
      <c r="B14" s="2" t="s">
        <v>135</v>
      </c>
      <c r="C14" s="3" t="s">
        <v>136</v>
      </c>
      <c r="D14" s="2" t="s">
        <v>137</v>
      </c>
      <c r="E14" s="2" t="s">
        <v>129</v>
      </c>
      <c r="F14" s="2" t="b">
        <v>1</v>
      </c>
      <c r="G14" s="2" t="b">
        <v>0</v>
      </c>
      <c r="H14" s="2" t="b">
        <v>0</v>
      </c>
      <c r="I14" s="2" t="s">
        <v>130</v>
      </c>
      <c r="J14" s="6">
        <v>0</v>
      </c>
      <c r="K14" s="3" t="s">
        <v>131</v>
      </c>
      <c r="L14" s="4" t="s">
        <v>138</v>
      </c>
      <c r="M14" s="4" t="s">
        <v>139</v>
      </c>
      <c r="N14" s="4" t="s">
        <v>140</v>
      </c>
      <c r="O14" s="5" t="s">
        <v>26</v>
      </c>
      <c r="P14" s="5" t="s">
        <v>27</v>
      </c>
    </row>
    <row r="15" spans="1:16" ht="72" customHeight="1" x14ac:dyDescent="0.2">
      <c r="A15" s="2" t="s">
        <v>141</v>
      </c>
      <c r="B15" s="2" t="s">
        <v>142</v>
      </c>
      <c r="C15" s="3" t="s">
        <v>143</v>
      </c>
      <c r="D15" s="2" t="s">
        <v>144</v>
      </c>
      <c r="E15" s="2" t="s">
        <v>145</v>
      </c>
      <c r="F15" s="2" t="b">
        <v>1</v>
      </c>
      <c r="G15" s="2" t="b">
        <v>1</v>
      </c>
      <c r="H15" s="2" t="b">
        <v>0</v>
      </c>
      <c r="I15" s="2" t="s">
        <v>146</v>
      </c>
      <c r="J15" s="6">
        <v>0.740037333257897</v>
      </c>
      <c r="K15" s="3" t="s">
        <v>147</v>
      </c>
      <c r="L15" s="4" t="s">
        <v>23</v>
      </c>
      <c r="M15" s="4" t="s">
        <v>148</v>
      </c>
      <c r="N15" s="4" t="s">
        <v>149</v>
      </c>
      <c r="O15" s="5" t="s">
        <v>26</v>
      </c>
      <c r="P15" s="5" t="s">
        <v>27</v>
      </c>
    </row>
    <row r="16" spans="1:16" ht="72" customHeight="1" x14ac:dyDescent="0.2">
      <c r="A16" s="2" t="s">
        <v>150</v>
      </c>
      <c r="B16" s="2" t="s">
        <v>151</v>
      </c>
      <c r="C16" s="3" t="s">
        <v>152</v>
      </c>
      <c r="D16" s="2" t="s">
        <v>153</v>
      </c>
      <c r="E16" s="2" t="s">
        <v>129</v>
      </c>
      <c r="F16" s="2" t="b">
        <v>1</v>
      </c>
      <c r="G16" s="2" t="b">
        <v>0</v>
      </c>
      <c r="H16" s="2" t="b">
        <v>0</v>
      </c>
      <c r="I16" s="2" t="s">
        <v>130</v>
      </c>
      <c r="J16" s="6">
        <v>0</v>
      </c>
      <c r="K16" s="3" t="s">
        <v>131</v>
      </c>
      <c r="L16" s="4" t="s">
        <v>138</v>
      </c>
      <c r="M16" s="4" t="s">
        <v>154</v>
      </c>
      <c r="N16" s="4" t="s">
        <v>155</v>
      </c>
      <c r="O16" s="5" t="s">
        <v>26</v>
      </c>
      <c r="P16" s="5" t="s">
        <v>27</v>
      </c>
    </row>
    <row r="17" spans="1:16" ht="72" customHeight="1" x14ac:dyDescent="0.2">
      <c r="A17" s="2" t="s">
        <v>156</v>
      </c>
      <c r="B17" s="2" t="s">
        <v>157</v>
      </c>
      <c r="C17" s="3" t="s">
        <v>158</v>
      </c>
      <c r="D17" s="2" t="s">
        <v>159</v>
      </c>
      <c r="E17" s="2" t="s">
        <v>160</v>
      </c>
      <c r="F17" s="2" t="b">
        <v>1</v>
      </c>
      <c r="G17" s="2" t="b">
        <v>1</v>
      </c>
      <c r="H17" s="2" t="b">
        <v>0</v>
      </c>
      <c r="I17" s="2" t="s">
        <v>161</v>
      </c>
      <c r="J17" s="6">
        <v>0.84065812222064051</v>
      </c>
      <c r="K17" s="3" t="s">
        <v>162</v>
      </c>
      <c r="L17" s="4" t="s">
        <v>45</v>
      </c>
      <c r="M17" s="4" t="s">
        <v>163</v>
      </c>
      <c r="N17" s="4" t="s">
        <v>164</v>
      </c>
      <c r="O17" s="5" t="s">
        <v>26</v>
      </c>
      <c r="P17" s="5" t="s">
        <v>27</v>
      </c>
    </row>
    <row r="18" spans="1:16" ht="72" customHeight="1" x14ac:dyDescent="0.2">
      <c r="A18" s="2" t="s">
        <v>165</v>
      </c>
      <c r="B18" s="2" t="s">
        <v>166</v>
      </c>
      <c r="C18" s="3" t="s">
        <v>167</v>
      </c>
      <c r="D18" s="2" t="s">
        <v>168</v>
      </c>
      <c r="E18" s="2" t="s">
        <v>129</v>
      </c>
      <c r="F18" s="2" t="b">
        <v>0</v>
      </c>
      <c r="G18" s="2" t="b">
        <v>0</v>
      </c>
      <c r="H18" s="2" t="b">
        <v>0</v>
      </c>
      <c r="I18" s="2" t="s">
        <v>130</v>
      </c>
      <c r="J18" s="6">
        <v>0</v>
      </c>
      <c r="K18" s="3" t="s">
        <v>131</v>
      </c>
      <c r="L18" s="4" t="s">
        <v>85</v>
      </c>
      <c r="M18" s="4" t="s">
        <v>169</v>
      </c>
      <c r="N18" s="4" t="s">
        <v>170</v>
      </c>
      <c r="O18" s="5" t="s">
        <v>58</v>
      </c>
      <c r="P18" s="5" t="s">
        <v>59</v>
      </c>
    </row>
    <row r="19" spans="1:16" ht="72" customHeight="1" x14ac:dyDescent="0.2">
      <c r="A19" s="2" t="s">
        <v>171</v>
      </c>
      <c r="B19" s="2" t="s">
        <v>172</v>
      </c>
      <c r="C19" s="3" t="s">
        <v>173</v>
      </c>
      <c r="D19" s="2" t="s">
        <v>128</v>
      </c>
      <c r="E19" s="2" t="s">
        <v>174</v>
      </c>
      <c r="F19" s="2" t="b">
        <v>0</v>
      </c>
      <c r="G19" s="2" t="b">
        <v>1</v>
      </c>
      <c r="H19" s="2" t="b">
        <v>0</v>
      </c>
      <c r="I19" s="2" t="s">
        <v>175</v>
      </c>
      <c r="J19" s="6">
        <v>0.81180739249529421</v>
      </c>
      <c r="K19" s="3" t="s">
        <v>176</v>
      </c>
      <c r="L19" s="4" t="s">
        <v>45</v>
      </c>
      <c r="M19" s="4" t="s">
        <v>177</v>
      </c>
      <c r="N19" s="4" t="s">
        <v>178</v>
      </c>
      <c r="O19" s="5" t="s">
        <v>26</v>
      </c>
      <c r="P19" s="5" t="s">
        <v>27</v>
      </c>
    </row>
    <row r="20" spans="1:16" ht="72" customHeight="1" x14ac:dyDescent="0.2">
      <c r="A20" s="2" t="s">
        <v>179</v>
      </c>
      <c r="B20" s="2" t="s">
        <v>180</v>
      </c>
      <c r="C20" s="3" t="s">
        <v>181</v>
      </c>
      <c r="D20" s="2" t="s">
        <v>182</v>
      </c>
      <c r="E20" s="2" t="s">
        <v>183</v>
      </c>
      <c r="F20" s="2" t="b">
        <v>1</v>
      </c>
      <c r="G20" s="2" t="b">
        <v>1</v>
      </c>
      <c r="H20" s="2" t="b">
        <v>0</v>
      </c>
      <c r="I20" s="2" t="s">
        <v>184</v>
      </c>
      <c r="J20" s="6">
        <v>0.75978883533942909</v>
      </c>
      <c r="K20" s="3" t="s">
        <v>185</v>
      </c>
      <c r="L20" s="4" t="s">
        <v>55</v>
      </c>
      <c r="M20" s="4" t="s">
        <v>186</v>
      </c>
      <c r="N20" s="4" t="s">
        <v>187</v>
      </c>
      <c r="O20" s="5" t="s">
        <v>58</v>
      </c>
      <c r="P20" s="5" t="s">
        <v>59</v>
      </c>
    </row>
    <row r="21" spans="1:16" ht="72" customHeight="1" x14ac:dyDescent="0.2">
      <c r="A21" s="2" t="s">
        <v>188</v>
      </c>
      <c r="B21" s="2" t="s">
        <v>189</v>
      </c>
      <c r="C21" s="3" t="s">
        <v>190</v>
      </c>
      <c r="D21" s="2" t="s">
        <v>191</v>
      </c>
      <c r="E21" s="2" t="s">
        <v>192</v>
      </c>
      <c r="F21" s="2" t="b">
        <v>0</v>
      </c>
      <c r="G21" s="2" t="b">
        <v>1</v>
      </c>
      <c r="H21" s="2" t="b">
        <v>0</v>
      </c>
      <c r="I21" s="2" t="s">
        <v>193</v>
      </c>
      <c r="J21" s="6">
        <v>0.64621186945035924</v>
      </c>
      <c r="K21" s="3" t="s">
        <v>194</v>
      </c>
      <c r="L21" s="4" t="s">
        <v>195</v>
      </c>
      <c r="M21" s="4" t="s">
        <v>196</v>
      </c>
      <c r="N21" s="4" t="s">
        <v>197</v>
      </c>
      <c r="O21" s="5" t="s">
        <v>198</v>
      </c>
      <c r="P21" s="5" t="s">
        <v>199</v>
      </c>
    </row>
    <row r="22" spans="1:16" ht="72" customHeight="1" x14ac:dyDescent="0.2">
      <c r="A22" s="2" t="s">
        <v>200</v>
      </c>
      <c r="B22" s="2" t="s">
        <v>201</v>
      </c>
      <c r="C22" s="3" t="s">
        <v>202</v>
      </c>
      <c r="D22" s="2" t="s">
        <v>203</v>
      </c>
      <c r="E22" s="2" t="s">
        <v>204</v>
      </c>
      <c r="F22" s="2" t="b">
        <v>1</v>
      </c>
      <c r="G22" s="2" t="b">
        <v>1</v>
      </c>
      <c r="H22" s="2" t="b">
        <v>0</v>
      </c>
      <c r="I22" s="2" t="s">
        <v>205</v>
      </c>
      <c r="J22" s="6">
        <v>0.61839844473127559</v>
      </c>
      <c r="K22" s="3" t="s">
        <v>206</v>
      </c>
      <c r="L22" s="4" t="s">
        <v>45</v>
      </c>
      <c r="M22" s="4" t="s">
        <v>207</v>
      </c>
      <c r="N22" s="4" t="s">
        <v>208</v>
      </c>
      <c r="O22" s="5" t="s">
        <v>26</v>
      </c>
      <c r="P22" s="5" t="s">
        <v>27</v>
      </c>
    </row>
    <row r="23" spans="1:16" ht="72" customHeight="1" x14ac:dyDescent="0.2">
      <c r="A23" s="2" t="s">
        <v>209</v>
      </c>
      <c r="B23" s="2" t="s">
        <v>210</v>
      </c>
      <c r="C23" s="3" t="s">
        <v>211</v>
      </c>
      <c r="D23" s="2" t="s">
        <v>212</v>
      </c>
      <c r="E23" s="2" t="s">
        <v>129</v>
      </c>
      <c r="F23" s="2" t="b">
        <v>0</v>
      </c>
      <c r="G23" s="2" t="b">
        <v>0</v>
      </c>
      <c r="H23" s="2" t="b">
        <v>0</v>
      </c>
      <c r="I23" s="2" t="s">
        <v>130</v>
      </c>
      <c r="J23" s="6">
        <v>0</v>
      </c>
      <c r="K23" s="3" t="s">
        <v>131</v>
      </c>
      <c r="L23" s="4" t="s">
        <v>195</v>
      </c>
      <c r="M23" s="4" t="s">
        <v>213</v>
      </c>
      <c r="N23" s="4" t="s">
        <v>197</v>
      </c>
      <c r="O23" s="5" t="s">
        <v>198</v>
      </c>
      <c r="P23" s="5" t="s">
        <v>199</v>
      </c>
    </row>
    <row r="24" spans="1:16" ht="72" customHeight="1" x14ac:dyDescent="0.2">
      <c r="A24" s="2" t="s">
        <v>214</v>
      </c>
      <c r="B24" s="2" t="s">
        <v>215</v>
      </c>
      <c r="C24" s="3" t="s">
        <v>216</v>
      </c>
      <c r="D24" s="2" t="s">
        <v>160</v>
      </c>
      <c r="E24" s="2" t="s">
        <v>129</v>
      </c>
      <c r="F24" s="2" t="b">
        <v>1</v>
      </c>
      <c r="G24" s="2" t="b">
        <v>0</v>
      </c>
      <c r="H24" s="2" t="b">
        <v>0</v>
      </c>
      <c r="I24" s="2" t="s">
        <v>130</v>
      </c>
      <c r="J24" s="6">
        <v>0</v>
      </c>
      <c r="K24" s="3" t="s">
        <v>131</v>
      </c>
      <c r="L24" s="4" t="s">
        <v>138</v>
      </c>
      <c r="M24" s="4" t="s">
        <v>217</v>
      </c>
      <c r="N24" s="4" t="s">
        <v>218</v>
      </c>
      <c r="O24" s="5" t="s">
        <v>26</v>
      </c>
      <c r="P24" s="5" t="s">
        <v>27</v>
      </c>
    </row>
    <row r="25" spans="1:16" ht="72" customHeight="1" x14ac:dyDescent="0.2">
      <c r="A25" s="2" t="s">
        <v>219</v>
      </c>
      <c r="B25" s="2" t="s">
        <v>220</v>
      </c>
      <c r="C25" s="3" t="s">
        <v>221</v>
      </c>
      <c r="D25" s="2" t="s">
        <v>222</v>
      </c>
      <c r="E25" s="2" t="s">
        <v>223</v>
      </c>
      <c r="F25" s="2" t="b">
        <v>1</v>
      </c>
      <c r="G25" s="2" t="b">
        <v>1</v>
      </c>
      <c r="H25" s="2" t="b">
        <v>0</v>
      </c>
      <c r="I25" s="2" t="s">
        <v>224</v>
      </c>
      <c r="J25" s="6">
        <v>0.90361988224555623</v>
      </c>
      <c r="K25" s="3" t="s">
        <v>225</v>
      </c>
      <c r="L25" s="4" t="s">
        <v>226</v>
      </c>
      <c r="M25" s="4" t="s">
        <v>227</v>
      </c>
      <c r="N25" s="4" t="s">
        <v>228</v>
      </c>
      <c r="O25" s="5" t="s">
        <v>26</v>
      </c>
      <c r="P25" s="5" t="s">
        <v>27</v>
      </c>
    </row>
    <row r="26" spans="1:16" ht="72" customHeight="1" x14ac:dyDescent="0.2">
      <c r="A26" s="2" t="s">
        <v>229</v>
      </c>
      <c r="B26" s="2" t="s">
        <v>230</v>
      </c>
      <c r="C26" s="3" t="s">
        <v>231</v>
      </c>
      <c r="D26" s="2" t="s">
        <v>232</v>
      </c>
      <c r="E26" s="2" t="s">
        <v>233</v>
      </c>
      <c r="F26" s="2" t="b">
        <v>1</v>
      </c>
      <c r="G26" s="2" t="b">
        <v>0</v>
      </c>
      <c r="H26" s="2" t="b">
        <v>0</v>
      </c>
      <c r="I26" s="2" t="s">
        <v>33</v>
      </c>
      <c r="J26" s="6" t="s">
        <v>33</v>
      </c>
      <c r="K26" s="3" t="s">
        <v>234</v>
      </c>
      <c r="L26" s="4" t="s">
        <v>75</v>
      </c>
      <c r="M26" s="4" t="s">
        <v>235</v>
      </c>
      <c r="N26" s="4" t="s">
        <v>236</v>
      </c>
      <c r="O26" s="5" t="s">
        <v>26</v>
      </c>
      <c r="P26" s="5" t="s">
        <v>27</v>
      </c>
    </row>
    <row r="27" spans="1:16" ht="72" customHeight="1" x14ac:dyDescent="0.2">
      <c r="A27" s="2" t="s">
        <v>237</v>
      </c>
      <c r="B27" s="2" t="s">
        <v>238</v>
      </c>
      <c r="C27" s="3" t="s">
        <v>239</v>
      </c>
      <c r="D27" s="2" t="s">
        <v>240</v>
      </c>
      <c r="E27" s="2" t="s">
        <v>241</v>
      </c>
      <c r="F27" s="2" t="b">
        <v>1</v>
      </c>
      <c r="G27" s="2" t="b">
        <v>1</v>
      </c>
      <c r="H27" s="2" t="b">
        <v>0</v>
      </c>
      <c r="I27" s="2" t="s">
        <v>242</v>
      </c>
      <c r="J27" s="6">
        <v>0.55577420361446106</v>
      </c>
      <c r="K27" s="3" t="s">
        <v>243</v>
      </c>
      <c r="L27" s="4" t="s">
        <v>55</v>
      </c>
      <c r="M27" s="4" t="s">
        <v>244</v>
      </c>
      <c r="N27" s="4" t="s">
        <v>245</v>
      </c>
      <c r="O27" s="5" t="s">
        <v>58</v>
      </c>
      <c r="P27" s="5" t="s">
        <v>59</v>
      </c>
    </row>
    <row r="28" spans="1:16" ht="72" customHeight="1" x14ac:dyDescent="0.2">
      <c r="A28" s="2" t="s">
        <v>246</v>
      </c>
      <c r="B28" s="2" t="s">
        <v>247</v>
      </c>
      <c r="C28" s="3" t="s">
        <v>248</v>
      </c>
      <c r="D28" s="2" t="s">
        <v>249</v>
      </c>
      <c r="E28" s="2" t="s">
        <v>129</v>
      </c>
      <c r="F28" s="2" t="b">
        <v>1</v>
      </c>
      <c r="G28" s="2" t="b">
        <v>0</v>
      </c>
      <c r="H28" s="2" t="b">
        <v>0</v>
      </c>
      <c r="I28" s="2" t="s">
        <v>130</v>
      </c>
      <c r="J28" s="6">
        <v>0</v>
      </c>
      <c r="K28" s="3" t="s">
        <v>131</v>
      </c>
      <c r="L28" s="4" t="s">
        <v>138</v>
      </c>
      <c r="M28" s="4" t="s">
        <v>250</v>
      </c>
      <c r="N28" s="4" t="s">
        <v>251</v>
      </c>
      <c r="O28" s="5" t="s">
        <v>26</v>
      </c>
      <c r="P28" s="5" t="s">
        <v>27</v>
      </c>
    </row>
    <row r="29" spans="1:16" ht="72" customHeight="1" x14ac:dyDescent="0.2">
      <c r="A29" s="2" t="s">
        <v>252</v>
      </c>
      <c r="B29" s="2" t="s">
        <v>253</v>
      </c>
      <c r="C29" s="3" t="s">
        <v>254</v>
      </c>
      <c r="D29" s="2" t="s">
        <v>255</v>
      </c>
      <c r="E29" s="2" t="s">
        <v>256</v>
      </c>
      <c r="F29" s="2" t="b">
        <v>1</v>
      </c>
      <c r="G29" s="2" t="b">
        <v>1</v>
      </c>
      <c r="H29" s="2" t="b">
        <v>0</v>
      </c>
      <c r="I29" s="2" t="s">
        <v>257</v>
      </c>
      <c r="J29" s="6">
        <v>0.1761698838051729</v>
      </c>
      <c r="K29" s="3" t="s">
        <v>258</v>
      </c>
      <c r="L29" s="4" t="s">
        <v>226</v>
      </c>
      <c r="M29" s="4" t="s">
        <v>259</v>
      </c>
      <c r="N29" s="4" t="s">
        <v>260</v>
      </c>
      <c r="O29" s="5" t="s">
        <v>26</v>
      </c>
      <c r="P29" s="5" t="s">
        <v>27</v>
      </c>
    </row>
    <row r="30" spans="1:16" ht="72" customHeight="1" x14ac:dyDescent="0.2">
      <c r="A30" s="2" t="s">
        <v>261</v>
      </c>
      <c r="B30" s="2" t="s">
        <v>262</v>
      </c>
      <c r="C30" s="3" t="s">
        <v>263</v>
      </c>
      <c r="D30" s="2" t="s">
        <v>264</v>
      </c>
      <c r="E30" s="2" t="s">
        <v>129</v>
      </c>
      <c r="F30" s="2" t="b">
        <v>0</v>
      </c>
      <c r="G30" s="2" t="b">
        <v>0</v>
      </c>
      <c r="H30" s="2" t="b">
        <v>0</v>
      </c>
      <c r="I30" s="2" t="s">
        <v>130</v>
      </c>
      <c r="J30" s="6">
        <v>0</v>
      </c>
      <c r="K30" s="3" t="s">
        <v>131</v>
      </c>
      <c r="L30" s="4" t="s">
        <v>85</v>
      </c>
      <c r="M30" s="4" t="s">
        <v>265</v>
      </c>
      <c r="N30" s="4" t="s">
        <v>266</v>
      </c>
      <c r="O30" s="5" t="s">
        <v>58</v>
      </c>
      <c r="P30" s="5" t="s">
        <v>59</v>
      </c>
    </row>
    <row r="31" spans="1:16" ht="72" customHeight="1" x14ac:dyDescent="0.2">
      <c r="A31" s="2" t="s">
        <v>267</v>
      </c>
      <c r="B31" s="2" t="s">
        <v>268</v>
      </c>
      <c r="C31" s="3" t="s">
        <v>269</v>
      </c>
      <c r="D31" s="2" t="s">
        <v>270</v>
      </c>
      <c r="E31" s="2" t="s">
        <v>233</v>
      </c>
      <c r="F31" s="2" t="b">
        <v>1</v>
      </c>
      <c r="G31" s="2" t="b">
        <v>0</v>
      </c>
      <c r="H31" s="2" t="b">
        <v>0</v>
      </c>
      <c r="I31" s="2" t="s">
        <v>33</v>
      </c>
      <c r="J31" s="6" t="s">
        <v>33</v>
      </c>
      <c r="K31" s="3" t="s">
        <v>234</v>
      </c>
      <c r="L31" s="4" t="s">
        <v>75</v>
      </c>
      <c r="M31" s="4" t="s">
        <v>271</v>
      </c>
      <c r="N31" s="4" t="s">
        <v>236</v>
      </c>
      <c r="O31" s="5" t="s">
        <v>26</v>
      </c>
      <c r="P31" s="5" t="s">
        <v>27</v>
      </c>
    </row>
    <row r="32" spans="1:16" ht="72" customHeight="1" x14ac:dyDescent="0.2">
      <c r="A32" s="2" t="s">
        <v>272</v>
      </c>
      <c r="B32" s="2" t="s">
        <v>172</v>
      </c>
      <c r="C32" s="3" t="s">
        <v>173</v>
      </c>
      <c r="D32" s="2" t="s">
        <v>128</v>
      </c>
      <c r="E32" s="2" t="s">
        <v>174</v>
      </c>
      <c r="F32" s="2" t="b">
        <v>0</v>
      </c>
      <c r="G32" s="2" t="b">
        <v>1</v>
      </c>
      <c r="H32" s="2" t="b">
        <v>0</v>
      </c>
      <c r="I32" s="2" t="s">
        <v>175</v>
      </c>
      <c r="J32" s="6">
        <v>0.81180739249529421</v>
      </c>
      <c r="K32" s="3" t="s">
        <v>176</v>
      </c>
      <c r="L32" s="4" t="s">
        <v>45</v>
      </c>
      <c r="M32" s="4" t="s">
        <v>177</v>
      </c>
      <c r="N32" s="4" t="s">
        <v>178</v>
      </c>
      <c r="O32" s="5" t="s">
        <v>26</v>
      </c>
      <c r="P32" s="5" t="s">
        <v>27</v>
      </c>
    </row>
    <row r="33" spans="1:16" ht="72" customHeight="1" x14ac:dyDescent="0.2">
      <c r="A33" s="2" t="s">
        <v>273</v>
      </c>
      <c r="B33" s="2" t="s">
        <v>274</v>
      </c>
      <c r="C33" s="3" t="s">
        <v>275</v>
      </c>
      <c r="D33" s="2" t="s">
        <v>276</v>
      </c>
      <c r="E33" s="2" t="s">
        <v>277</v>
      </c>
      <c r="F33" s="2" t="b">
        <v>0</v>
      </c>
      <c r="G33" s="2" t="b">
        <v>1</v>
      </c>
      <c r="H33" s="2" t="b">
        <v>0</v>
      </c>
      <c r="I33" s="2" t="s">
        <v>278</v>
      </c>
      <c r="J33" s="6">
        <v>0.75433252005957319</v>
      </c>
      <c r="K33" s="3" t="s">
        <v>279</v>
      </c>
      <c r="L33" s="4" t="s">
        <v>85</v>
      </c>
      <c r="M33" s="4" t="s">
        <v>280</v>
      </c>
      <c r="N33" s="4" t="s">
        <v>281</v>
      </c>
      <c r="O33" s="5" t="s">
        <v>58</v>
      </c>
      <c r="P33" s="5" t="s">
        <v>59</v>
      </c>
    </row>
    <row r="34" spans="1:16" ht="72" customHeight="1" x14ac:dyDescent="0.2">
      <c r="A34" s="2" t="s">
        <v>282</v>
      </c>
      <c r="B34" s="2" t="s">
        <v>283</v>
      </c>
      <c r="C34" s="3" t="s">
        <v>284</v>
      </c>
      <c r="D34" s="2" t="s">
        <v>285</v>
      </c>
      <c r="E34" s="2" t="s">
        <v>286</v>
      </c>
      <c r="F34" s="2" t="b">
        <v>1</v>
      </c>
      <c r="G34" s="2" t="b">
        <v>1</v>
      </c>
      <c r="H34" s="2" t="b">
        <v>0</v>
      </c>
      <c r="I34" s="2" t="s">
        <v>287</v>
      </c>
      <c r="J34" s="6">
        <v>0.77179162735998985</v>
      </c>
      <c r="K34" s="3" t="s">
        <v>288</v>
      </c>
      <c r="L34" s="4" t="s">
        <v>45</v>
      </c>
      <c r="M34" s="4" t="s">
        <v>289</v>
      </c>
      <c r="N34" s="4" t="s">
        <v>290</v>
      </c>
      <c r="O34" s="5" t="s">
        <v>26</v>
      </c>
      <c r="P34" s="5" t="s">
        <v>27</v>
      </c>
    </row>
    <row r="35" spans="1:16" ht="72" customHeight="1" x14ac:dyDescent="0.2">
      <c r="A35" s="2" t="s">
        <v>291</v>
      </c>
      <c r="B35" s="2" t="s">
        <v>292</v>
      </c>
      <c r="C35" s="3" t="s">
        <v>293</v>
      </c>
      <c r="D35" s="2" t="s">
        <v>294</v>
      </c>
      <c r="E35" s="2" t="s">
        <v>295</v>
      </c>
      <c r="F35" s="2" t="b">
        <v>0</v>
      </c>
      <c r="G35" s="2" t="b">
        <v>1</v>
      </c>
      <c r="H35" s="2" t="b">
        <v>0</v>
      </c>
      <c r="I35" s="2" t="s">
        <v>296</v>
      </c>
      <c r="J35" s="6">
        <v>0.47348088034106223</v>
      </c>
      <c r="K35" s="3" t="s">
        <v>297</v>
      </c>
      <c r="L35" s="4" t="s">
        <v>85</v>
      </c>
      <c r="M35" s="4" t="s">
        <v>298</v>
      </c>
      <c r="N35" s="4" t="s">
        <v>299</v>
      </c>
      <c r="O35" s="5" t="s">
        <v>58</v>
      </c>
      <c r="P35" s="5" t="s">
        <v>59</v>
      </c>
    </row>
    <row r="36" spans="1:16" ht="72" customHeight="1" x14ac:dyDescent="0.2">
      <c r="A36" s="2" t="s">
        <v>300</v>
      </c>
      <c r="B36" s="2" t="s">
        <v>126</v>
      </c>
      <c r="C36" s="3" t="s">
        <v>127</v>
      </c>
      <c r="D36" s="2" t="s">
        <v>128</v>
      </c>
      <c r="E36" s="2" t="s">
        <v>129</v>
      </c>
      <c r="F36" s="2" t="b">
        <v>0</v>
      </c>
      <c r="G36" s="2" t="b">
        <v>0</v>
      </c>
      <c r="H36" s="2" t="b">
        <v>0</v>
      </c>
      <c r="I36" s="2" t="s">
        <v>130</v>
      </c>
      <c r="J36" s="6">
        <v>0</v>
      </c>
      <c r="K36" s="3" t="s">
        <v>131</v>
      </c>
      <c r="L36" s="4" t="s">
        <v>85</v>
      </c>
      <c r="M36" s="4" t="s">
        <v>132</v>
      </c>
      <c r="N36" s="4" t="s">
        <v>133</v>
      </c>
      <c r="O36" s="5" t="s">
        <v>58</v>
      </c>
      <c r="P36" s="5" t="s">
        <v>59</v>
      </c>
    </row>
    <row r="37" spans="1:16" ht="72" customHeight="1" x14ac:dyDescent="0.2">
      <c r="A37" s="2" t="s">
        <v>301</v>
      </c>
      <c r="B37" s="2" t="s">
        <v>302</v>
      </c>
      <c r="C37" s="3" t="s">
        <v>303</v>
      </c>
      <c r="D37" s="2" t="s">
        <v>304</v>
      </c>
      <c r="E37" s="2" t="s">
        <v>129</v>
      </c>
      <c r="F37" s="2" t="b">
        <v>1</v>
      </c>
      <c r="G37" s="2" t="b">
        <v>0</v>
      </c>
      <c r="H37" s="2" t="b">
        <v>0</v>
      </c>
      <c r="I37" s="2" t="s">
        <v>130</v>
      </c>
      <c r="J37" s="6">
        <v>0</v>
      </c>
      <c r="K37" s="3" t="s">
        <v>131</v>
      </c>
      <c r="L37" s="4" t="s">
        <v>138</v>
      </c>
      <c r="M37" s="4" t="s">
        <v>305</v>
      </c>
      <c r="N37" s="4" t="s">
        <v>306</v>
      </c>
      <c r="O37" s="5" t="s">
        <v>26</v>
      </c>
      <c r="P37" s="5" t="s">
        <v>27</v>
      </c>
    </row>
    <row r="38" spans="1:16" ht="72" customHeight="1" x14ac:dyDescent="0.2">
      <c r="A38" s="2" t="s">
        <v>307</v>
      </c>
      <c r="B38" s="2" t="s">
        <v>308</v>
      </c>
      <c r="C38" s="3" t="s">
        <v>309</v>
      </c>
      <c r="D38" s="2" t="s">
        <v>310</v>
      </c>
      <c r="E38" s="2" t="s">
        <v>311</v>
      </c>
      <c r="F38" s="2" t="b">
        <v>0</v>
      </c>
      <c r="G38" s="2" t="b">
        <v>0</v>
      </c>
      <c r="H38" s="2" t="b">
        <v>0</v>
      </c>
      <c r="I38" s="2" t="s">
        <v>33</v>
      </c>
      <c r="J38" s="6" t="s">
        <v>33</v>
      </c>
      <c r="K38" s="3" t="s">
        <v>312</v>
      </c>
      <c r="L38" s="4" t="s">
        <v>75</v>
      </c>
      <c r="M38" s="4" t="s">
        <v>313</v>
      </c>
      <c r="N38" s="4" t="s">
        <v>314</v>
      </c>
      <c r="O38" s="5" t="s">
        <v>26</v>
      </c>
      <c r="P38" s="5" t="s">
        <v>27</v>
      </c>
    </row>
    <row r="39" spans="1:16" ht="72" customHeight="1" x14ac:dyDescent="0.2">
      <c r="A39" s="2" t="s">
        <v>315</v>
      </c>
      <c r="B39" s="2" t="s">
        <v>316</v>
      </c>
      <c r="C39" s="3" t="s">
        <v>317</v>
      </c>
      <c r="D39" s="2" t="s">
        <v>318</v>
      </c>
      <c r="E39" s="2" t="s">
        <v>233</v>
      </c>
      <c r="F39" s="2" t="b">
        <v>1</v>
      </c>
      <c r="G39" s="2" t="b">
        <v>0</v>
      </c>
      <c r="H39" s="2" t="b">
        <v>0</v>
      </c>
      <c r="I39" s="2" t="s">
        <v>33</v>
      </c>
      <c r="J39" s="6" t="s">
        <v>33</v>
      </c>
      <c r="K39" s="3" t="s">
        <v>234</v>
      </c>
      <c r="L39" s="4" t="s">
        <v>75</v>
      </c>
      <c r="M39" s="4" t="s">
        <v>319</v>
      </c>
      <c r="N39" s="4" t="s">
        <v>236</v>
      </c>
      <c r="O39" s="5" t="s">
        <v>26</v>
      </c>
      <c r="P39" s="5" t="s">
        <v>27</v>
      </c>
    </row>
    <row r="40" spans="1:16" ht="72" customHeight="1" x14ac:dyDescent="0.2">
      <c r="A40" s="2" t="s">
        <v>320</v>
      </c>
      <c r="B40" s="2" t="s">
        <v>321</v>
      </c>
      <c r="C40" s="3" t="s">
        <v>322</v>
      </c>
      <c r="D40" s="2" t="s">
        <v>323</v>
      </c>
      <c r="E40" s="2" t="s">
        <v>129</v>
      </c>
      <c r="F40" s="2" t="b">
        <v>0</v>
      </c>
      <c r="G40" s="2" t="b">
        <v>0</v>
      </c>
      <c r="H40" s="2" t="b">
        <v>0</v>
      </c>
      <c r="I40" s="2" t="s">
        <v>130</v>
      </c>
      <c r="J40" s="6">
        <v>0</v>
      </c>
      <c r="K40" s="3" t="s">
        <v>131</v>
      </c>
      <c r="L40" s="4" t="s">
        <v>94</v>
      </c>
      <c r="M40" s="4" t="s">
        <v>324</v>
      </c>
      <c r="N40" s="4" t="s">
        <v>325</v>
      </c>
      <c r="O40" s="5" t="s">
        <v>58</v>
      </c>
      <c r="P40" s="5" t="s">
        <v>59</v>
      </c>
    </row>
    <row r="41" spans="1:16" ht="72" customHeight="1" x14ac:dyDescent="0.2">
      <c r="A41" s="2" t="s">
        <v>326</v>
      </c>
      <c r="B41" s="2" t="s">
        <v>327</v>
      </c>
      <c r="C41" s="3" t="s">
        <v>328</v>
      </c>
      <c r="D41" s="2" t="s">
        <v>329</v>
      </c>
      <c r="E41" s="2" t="s">
        <v>129</v>
      </c>
      <c r="F41" s="2" t="b">
        <v>0</v>
      </c>
      <c r="G41" s="2" t="b">
        <v>0</v>
      </c>
      <c r="H41" s="2" t="b">
        <v>0</v>
      </c>
      <c r="I41" s="2" t="s">
        <v>130</v>
      </c>
      <c r="J41" s="6">
        <v>0</v>
      </c>
      <c r="K41" s="3" t="s">
        <v>131</v>
      </c>
      <c r="L41" s="4" t="s">
        <v>85</v>
      </c>
      <c r="M41" s="4" t="s">
        <v>330</v>
      </c>
      <c r="N41" s="4" t="s">
        <v>331</v>
      </c>
      <c r="O41" s="5" t="s">
        <v>58</v>
      </c>
      <c r="P41" s="5" t="s">
        <v>59</v>
      </c>
    </row>
    <row r="42" spans="1:16" ht="72" customHeight="1" x14ac:dyDescent="0.2">
      <c r="A42" s="2" t="s">
        <v>332</v>
      </c>
      <c r="B42" s="2" t="s">
        <v>126</v>
      </c>
      <c r="C42" s="3" t="s">
        <v>127</v>
      </c>
      <c r="D42" s="2" t="s">
        <v>128</v>
      </c>
      <c r="E42" s="2" t="s">
        <v>129</v>
      </c>
      <c r="F42" s="2" t="b">
        <v>0</v>
      </c>
      <c r="G42" s="2" t="b">
        <v>0</v>
      </c>
      <c r="H42" s="2" t="b">
        <v>0</v>
      </c>
      <c r="I42" s="2" t="s">
        <v>130</v>
      </c>
      <c r="J42" s="6">
        <v>0</v>
      </c>
      <c r="K42" s="3" t="s">
        <v>131</v>
      </c>
      <c r="L42" s="4" t="s">
        <v>85</v>
      </c>
      <c r="M42" s="4" t="s">
        <v>132</v>
      </c>
      <c r="N42" s="4" t="s">
        <v>133</v>
      </c>
      <c r="O42" s="5" t="s">
        <v>58</v>
      </c>
      <c r="P42" s="5" t="s">
        <v>59</v>
      </c>
    </row>
    <row r="43" spans="1:16" ht="72" customHeight="1" x14ac:dyDescent="0.2">
      <c r="A43" s="2" t="s">
        <v>333</v>
      </c>
      <c r="B43" s="2" t="s">
        <v>334</v>
      </c>
      <c r="C43" s="3" t="s">
        <v>335</v>
      </c>
      <c r="D43" s="2" t="s">
        <v>336</v>
      </c>
      <c r="E43" s="2" t="s">
        <v>129</v>
      </c>
      <c r="F43" s="2" t="b">
        <v>1</v>
      </c>
      <c r="G43" s="2" t="b">
        <v>0</v>
      </c>
      <c r="H43" s="2" t="b">
        <v>0</v>
      </c>
      <c r="I43" s="2" t="s">
        <v>130</v>
      </c>
      <c r="J43" s="6">
        <v>0</v>
      </c>
      <c r="K43" s="3" t="s">
        <v>131</v>
      </c>
      <c r="L43" s="4" t="s">
        <v>138</v>
      </c>
      <c r="M43" s="4" t="s">
        <v>337</v>
      </c>
      <c r="N43" s="4" t="s">
        <v>338</v>
      </c>
      <c r="O43" s="5" t="s">
        <v>26</v>
      </c>
      <c r="P43" s="5" t="s">
        <v>27</v>
      </c>
    </row>
    <row r="44" spans="1:16" ht="72" customHeight="1" x14ac:dyDescent="0.2">
      <c r="A44" s="2" t="s">
        <v>339</v>
      </c>
      <c r="B44" s="2" t="s">
        <v>340</v>
      </c>
      <c r="C44" s="3" t="s">
        <v>341</v>
      </c>
      <c r="D44" s="2" t="s">
        <v>342</v>
      </c>
      <c r="E44" s="2" t="s">
        <v>343</v>
      </c>
      <c r="F44" s="2" t="b">
        <v>0</v>
      </c>
      <c r="G44" s="2" t="b">
        <v>1</v>
      </c>
      <c r="H44" s="2" t="b">
        <v>0</v>
      </c>
      <c r="I44" s="2" t="s">
        <v>344</v>
      </c>
      <c r="J44" s="6">
        <v>0.35713978052348128</v>
      </c>
      <c r="K44" s="3" t="s">
        <v>345</v>
      </c>
      <c r="L44" s="4" t="s">
        <v>85</v>
      </c>
      <c r="M44" s="4" t="s">
        <v>346</v>
      </c>
      <c r="N44" s="4" t="s">
        <v>347</v>
      </c>
      <c r="O44" s="5" t="s">
        <v>58</v>
      </c>
      <c r="P44" s="5" t="s">
        <v>59</v>
      </c>
    </row>
    <row r="45" spans="1:16" ht="72" customHeight="1" x14ac:dyDescent="0.2">
      <c r="A45" s="2" t="s">
        <v>348</v>
      </c>
      <c r="B45" s="2" t="s">
        <v>349</v>
      </c>
      <c r="C45" s="3" t="s">
        <v>350</v>
      </c>
      <c r="D45" s="2" t="s">
        <v>351</v>
      </c>
      <c r="E45" s="2" t="s">
        <v>352</v>
      </c>
      <c r="F45" s="2" t="b">
        <v>0</v>
      </c>
      <c r="G45" s="2" t="b">
        <v>1</v>
      </c>
      <c r="H45" s="2" t="b">
        <v>0</v>
      </c>
      <c r="I45" s="2" t="s">
        <v>353</v>
      </c>
      <c r="J45" s="6">
        <v>0.4438833736194992</v>
      </c>
      <c r="K45" s="3" t="s">
        <v>354</v>
      </c>
      <c r="L45" s="4" t="s">
        <v>45</v>
      </c>
      <c r="M45" s="4" t="s">
        <v>355</v>
      </c>
      <c r="N45" s="4" t="s">
        <v>356</v>
      </c>
      <c r="O45" s="5" t="s">
        <v>26</v>
      </c>
      <c r="P45" s="5" t="s">
        <v>27</v>
      </c>
    </row>
    <row r="46" spans="1:16" ht="72" customHeight="1" x14ac:dyDescent="0.2">
      <c r="A46" s="2" t="s">
        <v>357</v>
      </c>
      <c r="B46" s="2" t="s">
        <v>358</v>
      </c>
      <c r="C46" s="3" t="s">
        <v>359</v>
      </c>
      <c r="D46" s="2" t="s">
        <v>360</v>
      </c>
      <c r="E46" s="2" t="s">
        <v>361</v>
      </c>
      <c r="F46" s="2" t="b">
        <v>0</v>
      </c>
      <c r="G46" s="2" t="b">
        <v>1</v>
      </c>
      <c r="H46" s="2" t="b">
        <v>0</v>
      </c>
      <c r="I46" s="2" t="s">
        <v>362</v>
      </c>
      <c r="J46" s="6">
        <v>0.74176743954030799</v>
      </c>
      <c r="K46" s="3" t="s">
        <v>363</v>
      </c>
      <c r="L46" s="4" t="s">
        <v>85</v>
      </c>
      <c r="M46" s="4" t="s">
        <v>364</v>
      </c>
      <c r="N46" s="4" t="s">
        <v>365</v>
      </c>
      <c r="O46" s="5" t="s">
        <v>58</v>
      </c>
      <c r="P46" s="5" t="s">
        <v>59</v>
      </c>
    </row>
    <row r="47" spans="1:16" ht="72" customHeight="1" x14ac:dyDescent="0.2">
      <c r="A47" s="2" t="s">
        <v>366</v>
      </c>
      <c r="B47" s="2" t="s">
        <v>367</v>
      </c>
      <c r="C47" s="3" t="s">
        <v>368</v>
      </c>
      <c r="D47" s="2" t="s">
        <v>369</v>
      </c>
      <c r="E47" s="2" t="s">
        <v>129</v>
      </c>
      <c r="F47" s="2" t="b">
        <v>0</v>
      </c>
      <c r="G47" s="2" t="b">
        <v>0</v>
      </c>
      <c r="H47" s="2" t="b">
        <v>0</v>
      </c>
      <c r="I47" s="2" t="s">
        <v>130</v>
      </c>
      <c r="J47" s="6">
        <v>0</v>
      </c>
      <c r="K47" s="3" t="s">
        <v>131</v>
      </c>
      <c r="L47" s="4" t="s">
        <v>370</v>
      </c>
      <c r="M47" s="4" t="s">
        <v>371</v>
      </c>
      <c r="N47" s="4" t="s">
        <v>372</v>
      </c>
      <c r="O47" s="5" t="s">
        <v>58</v>
      </c>
      <c r="P47" s="5" t="s">
        <v>59</v>
      </c>
    </row>
    <row r="48" spans="1:16" ht="72" customHeight="1" x14ac:dyDescent="0.2">
      <c r="A48" s="2" t="s">
        <v>373</v>
      </c>
      <c r="B48" s="2" t="s">
        <v>374</v>
      </c>
      <c r="C48" s="3" t="s">
        <v>375</v>
      </c>
      <c r="D48" s="2" t="s">
        <v>376</v>
      </c>
      <c r="E48" s="2" t="s">
        <v>377</v>
      </c>
      <c r="F48" s="2" t="b">
        <v>1</v>
      </c>
      <c r="G48" s="2" t="b">
        <v>0</v>
      </c>
      <c r="H48" s="2" t="b">
        <v>1</v>
      </c>
      <c r="I48" s="2" t="s">
        <v>33</v>
      </c>
      <c r="J48" s="6" t="s">
        <v>33</v>
      </c>
      <c r="K48" s="3" t="s">
        <v>378</v>
      </c>
      <c r="L48" s="4" t="s">
        <v>35</v>
      </c>
      <c r="M48" s="4" t="s">
        <v>379</v>
      </c>
      <c r="N48" s="4" t="s">
        <v>380</v>
      </c>
      <c r="O48" s="5" t="s">
        <v>26</v>
      </c>
      <c r="P48" s="5" t="s">
        <v>27</v>
      </c>
    </row>
    <row r="49" spans="1:16" ht="72" customHeight="1" x14ac:dyDescent="0.2">
      <c r="A49" s="2" t="s">
        <v>381</v>
      </c>
      <c r="B49" s="2" t="s">
        <v>382</v>
      </c>
      <c r="C49" s="3" t="s">
        <v>383</v>
      </c>
      <c r="D49" s="2" t="s">
        <v>384</v>
      </c>
      <c r="E49" s="2" t="s">
        <v>385</v>
      </c>
      <c r="F49" s="2" t="b">
        <v>0</v>
      </c>
      <c r="G49" s="2" t="b">
        <v>0</v>
      </c>
      <c r="H49" s="2" t="b">
        <v>0</v>
      </c>
      <c r="I49" s="2" t="s">
        <v>33</v>
      </c>
      <c r="J49" s="6" t="s">
        <v>33</v>
      </c>
      <c r="K49" s="3" t="s">
        <v>386</v>
      </c>
      <c r="L49" s="4" t="s">
        <v>75</v>
      </c>
      <c r="M49" s="4" t="s">
        <v>387</v>
      </c>
      <c r="N49" s="4" t="s">
        <v>388</v>
      </c>
      <c r="O49" s="5" t="s">
        <v>26</v>
      </c>
      <c r="P49" s="5" t="s">
        <v>27</v>
      </c>
    </row>
    <row r="50" spans="1:16" ht="72" customHeight="1" x14ac:dyDescent="0.2">
      <c r="A50" s="2" t="s">
        <v>389</v>
      </c>
      <c r="B50" s="2" t="s">
        <v>390</v>
      </c>
      <c r="C50" s="3" t="s">
        <v>391</v>
      </c>
      <c r="D50" s="2" t="s">
        <v>392</v>
      </c>
      <c r="E50" s="2" t="s">
        <v>393</v>
      </c>
      <c r="F50" s="2" t="b">
        <v>1</v>
      </c>
      <c r="G50" s="2" t="b">
        <v>1</v>
      </c>
      <c r="H50" s="2" t="b">
        <v>0</v>
      </c>
      <c r="I50" s="2" t="s">
        <v>394</v>
      </c>
      <c r="J50" s="6">
        <v>0.69793105554884471</v>
      </c>
      <c r="K50" s="3" t="s">
        <v>395</v>
      </c>
      <c r="L50" s="4" t="s">
        <v>23</v>
      </c>
      <c r="M50" s="4" t="s">
        <v>396</v>
      </c>
      <c r="N50" s="4" t="s">
        <v>397</v>
      </c>
      <c r="O50" s="5" t="s">
        <v>26</v>
      </c>
      <c r="P50" s="5" t="s">
        <v>27</v>
      </c>
    </row>
    <row r="51" spans="1:16" ht="72" customHeight="1" x14ac:dyDescent="0.2">
      <c r="A51" s="2" t="s">
        <v>398</v>
      </c>
      <c r="B51" s="2" t="s">
        <v>399</v>
      </c>
      <c r="C51" s="3" t="s">
        <v>400</v>
      </c>
      <c r="D51" s="2" t="s">
        <v>401</v>
      </c>
      <c r="E51" s="2" t="s">
        <v>402</v>
      </c>
      <c r="F51" s="2" t="b">
        <v>1</v>
      </c>
      <c r="G51" s="2" t="b">
        <v>1</v>
      </c>
      <c r="H51" s="2" t="b">
        <v>0</v>
      </c>
      <c r="I51" s="2" t="s">
        <v>403</v>
      </c>
      <c r="J51" s="6">
        <v>0.58428761920787375</v>
      </c>
      <c r="K51" s="3" t="s">
        <v>404</v>
      </c>
      <c r="L51" s="4" t="s">
        <v>45</v>
      </c>
      <c r="M51" s="4" t="s">
        <v>405</v>
      </c>
      <c r="N51" s="4" t="s">
        <v>406</v>
      </c>
      <c r="O51" s="5" t="s">
        <v>26</v>
      </c>
      <c r="P51" s="5" t="s">
        <v>27</v>
      </c>
    </row>
    <row r="52" spans="1:16" ht="72" customHeight="1" x14ac:dyDescent="0.2">
      <c r="A52" s="2" t="s">
        <v>407</v>
      </c>
      <c r="B52" s="2" t="s">
        <v>238</v>
      </c>
      <c r="C52" s="3" t="s">
        <v>239</v>
      </c>
      <c r="D52" s="2" t="s">
        <v>240</v>
      </c>
      <c r="E52" s="2" t="s">
        <v>241</v>
      </c>
      <c r="F52" s="2" t="b">
        <v>1</v>
      </c>
      <c r="G52" s="2" t="b">
        <v>1</v>
      </c>
      <c r="H52" s="2" t="b">
        <v>0</v>
      </c>
      <c r="I52" s="2" t="s">
        <v>242</v>
      </c>
      <c r="J52" s="6">
        <v>0.55577420361446106</v>
      </c>
      <c r="K52" s="3" t="s">
        <v>243</v>
      </c>
      <c r="L52" s="4" t="s">
        <v>55</v>
      </c>
      <c r="M52" s="4" t="s">
        <v>244</v>
      </c>
      <c r="N52" s="4" t="s">
        <v>245</v>
      </c>
      <c r="O52" s="5" t="s">
        <v>58</v>
      </c>
      <c r="P52" s="5" t="s">
        <v>59</v>
      </c>
    </row>
    <row r="53" spans="1:16" ht="72" customHeight="1" x14ac:dyDescent="0.2">
      <c r="A53" s="2" t="s">
        <v>408</v>
      </c>
      <c r="B53" s="2" t="s">
        <v>409</v>
      </c>
      <c r="C53" s="3" t="s">
        <v>410</v>
      </c>
      <c r="D53" s="2" t="s">
        <v>411</v>
      </c>
      <c r="E53" s="2" t="s">
        <v>129</v>
      </c>
      <c r="F53" s="2" t="b">
        <v>1</v>
      </c>
      <c r="G53" s="2" t="b">
        <v>0</v>
      </c>
      <c r="H53" s="2" t="b">
        <v>0</v>
      </c>
      <c r="I53" s="2" t="s">
        <v>130</v>
      </c>
      <c r="J53" s="6">
        <v>0</v>
      </c>
      <c r="K53" s="3" t="s">
        <v>131</v>
      </c>
      <c r="L53" s="4" t="s">
        <v>138</v>
      </c>
      <c r="M53" s="4" t="s">
        <v>412</v>
      </c>
      <c r="N53" s="4" t="s">
        <v>413</v>
      </c>
      <c r="O53" s="5" t="s">
        <v>26</v>
      </c>
      <c r="P53" s="5" t="s">
        <v>27</v>
      </c>
    </row>
    <row r="54" spans="1:16" ht="72" customHeight="1" x14ac:dyDescent="0.2">
      <c r="A54" s="2" t="s">
        <v>414</v>
      </c>
      <c r="B54" s="2" t="s">
        <v>374</v>
      </c>
      <c r="C54" s="3" t="s">
        <v>375</v>
      </c>
      <c r="D54" s="2" t="s">
        <v>376</v>
      </c>
      <c r="E54" s="2" t="s">
        <v>415</v>
      </c>
      <c r="F54" s="2" t="b">
        <v>1</v>
      </c>
      <c r="G54" s="2" t="b">
        <v>1</v>
      </c>
      <c r="H54" s="2" t="b">
        <v>0</v>
      </c>
      <c r="I54" s="2" t="s">
        <v>416</v>
      </c>
      <c r="J54" s="6">
        <v>0.59033802110230116</v>
      </c>
      <c r="K54" s="3" t="s">
        <v>417</v>
      </c>
      <c r="L54" s="4" t="s">
        <v>45</v>
      </c>
      <c r="M54" s="4" t="s">
        <v>418</v>
      </c>
      <c r="N54" s="4" t="s">
        <v>419</v>
      </c>
      <c r="O54" s="5" t="s">
        <v>26</v>
      </c>
      <c r="P54" s="5" t="s">
        <v>27</v>
      </c>
    </row>
    <row r="55" spans="1:16" ht="72" customHeight="1" x14ac:dyDescent="0.2">
      <c r="A55" s="2" t="s">
        <v>420</v>
      </c>
      <c r="B55" s="2" t="s">
        <v>421</v>
      </c>
      <c r="C55" s="3" t="s">
        <v>422</v>
      </c>
      <c r="D55" s="2" t="s">
        <v>423</v>
      </c>
      <c r="E55" s="2" t="s">
        <v>424</v>
      </c>
      <c r="F55" s="2" t="b">
        <v>1</v>
      </c>
      <c r="G55" s="2" t="b">
        <v>1</v>
      </c>
      <c r="H55" s="2" t="b">
        <v>0</v>
      </c>
      <c r="I55" s="2" t="s">
        <v>425</v>
      </c>
      <c r="J55" s="6">
        <v>0.67395522459049151</v>
      </c>
      <c r="K55" s="3" t="s">
        <v>426</v>
      </c>
      <c r="L55" s="4" t="s">
        <v>45</v>
      </c>
      <c r="M55" s="4" t="s">
        <v>427</v>
      </c>
      <c r="N55" s="4" t="s">
        <v>428</v>
      </c>
      <c r="O55" s="5" t="s">
        <v>26</v>
      </c>
      <c r="P55" s="5" t="s">
        <v>27</v>
      </c>
    </row>
    <row r="56" spans="1:16" ht="72" customHeight="1" x14ac:dyDescent="0.2">
      <c r="A56" s="2" t="s">
        <v>429</v>
      </c>
      <c r="B56" s="2" t="s">
        <v>430</v>
      </c>
      <c r="C56" s="3" t="s">
        <v>431</v>
      </c>
      <c r="D56" s="2" t="s">
        <v>432</v>
      </c>
      <c r="E56" s="2" t="s">
        <v>433</v>
      </c>
      <c r="F56" s="2" t="b">
        <v>0</v>
      </c>
      <c r="G56" s="2" t="b">
        <v>1</v>
      </c>
      <c r="H56" s="2" t="b">
        <v>0</v>
      </c>
      <c r="I56" s="2" t="s">
        <v>434</v>
      </c>
      <c r="J56" s="6">
        <v>0.75214922749005542</v>
      </c>
      <c r="K56" s="3" t="s">
        <v>435</v>
      </c>
      <c r="L56" s="4" t="s">
        <v>94</v>
      </c>
      <c r="M56" s="4" t="s">
        <v>436</v>
      </c>
      <c r="N56" s="4" t="s">
        <v>437</v>
      </c>
      <c r="O56" s="5" t="s">
        <v>58</v>
      </c>
      <c r="P56" s="5" t="s">
        <v>59</v>
      </c>
    </row>
    <row r="57" spans="1:16" ht="72" customHeight="1" x14ac:dyDescent="0.2">
      <c r="A57" s="2" t="s">
        <v>438</v>
      </c>
      <c r="B57" s="2" t="s">
        <v>439</v>
      </c>
      <c r="C57" s="3" t="s">
        <v>440</v>
      </c>
      <c r="D57" s="2" t="s">
        <v>441</v>
      </c>
      <c r="E57" s="2" t="s">
        <v>442</v>
      </c>
      <c r="F57" s="2" t="b">
        <v>1</v>
      </c>
      <c r="G57" s="2" t="b">
        <v>0</v>
      </c>
      <c r="H57" s="2" t="b">
        <v>0</v>
      </c>
      <c r="I57" s="2" t="s">
        <v>33</v>
      </c>
      <c r="J57" s="6" t="s">
        <v>33</v>
      </c>
      <c r="K57" s="3" t="s">
        <v>443</v>
      </c>
      <c r="L57" s="4" t="s">
        <v>75</v>
      </c>
      <c r="M57" s="4" t="s">
        <v>444</v>
      </c>
      <c r="N57" s="4" t="s">
        <v>445</v>
      </c>
      <c r="O57" s="5" t="s">
        <v>26</v>
      </c>
      <c r="P57" s="5" t="s">
        <v>27</v>
      </c>
    </row>
    <row r="58" spans="1:16" ht="72" customHeight="1" x14ac:dyDescent="0.2">
      <c r="A58" s="2" t="s">
        <v>446</v>
      </c>
      <c r="B58" s="2" t="s">
        <v>215</v>
      </c>
      <c r="C58" s="3" t="s">
        <v>216</v>
      </c>
      <c r="D58" s="2" t="s">
        <v>160</v>
      </c>
      <c r="E58" s="2" t="s">
        <v>129</v>
      </c>
      <c r="F58" s="2" t="b">
        <v>1</v>
      </c>
      <c r="G58" s="2" t="b">
        <v>0</v>
      </c>
      <c r="H58" s="2" t="b">
        <v>0</v>
      </c>
      <c r="I58" s="2" t="s">
        <v>130</v>
      </c>
      <c r="J58" s="6">
        <v>0</v>
      </c>
      <c r="K58" s="3" t="s">
        <v>131</v>
      </c>
      <c r="L58" s="4" t="s">
        <v>138</v>
      </c>
      <c r="M58" s="4" t="s">
        <v>217</v>
      </c>
      <c r="N58" s="4" t="s">
        <v>218</v>
      </c>
      <c r="O58" s="5" t="s">
        <v>26</v>
      </c>
      <c r="P58" s="5" t="s">
        <v>27</v>
      </c>
    </row>
    <row r="59" spans="1:16" ht="72" customHeight="1" x14ac:dyDescent="0.2">
      <c r="A59" s="2" t="s">
        <v>447</v>
      </c>
      <c r="B59" s="2" t="s">
        <v>448</v>
      </c>
      <c r="C59" s="3" t="s">
        <v>449</v>
      </c>
      <c r="D59" s="2" t="s">
        <v>450</v>
      </c>
      <c r="E59" s="2" t="s">
        <v>129</v>
      </c>
      <c r="F59" s="2" t="b">
        <v>1</v>
      </c>
      <c r="G59" s="2" t="b">
        <v>0</v>
      </c>
      <c r="H59" s="2" t="b">
        <v>0</v>
      </c>
      <c r="I59" s="2" t="s">
        <v>130</v>
      </c>
      <c r="J59" s="6">
        <v>0</v>
      </c>
      <c r="K59" s="3" t="s">
        <v>131</v>
      </c>
      <c r="L59" s="4" t="s">
        <v>138</v>
      </c>
      <c r="M59" s="4" t="s">
        <v>451</v>
      </c>
      <c r="N59" s="4" t="s">
        <v>452</v>
      </c>
      <c r="O59" s="5" t="s">
        <v>26</v>
      </c>
      <c r="P59" s="5" t="s">
        <v>27</v>
      </c>
    </row>
    <row r="60" spans="1:16" ht="72" customHeight="1" x14ac:dyDescent="0.2">
      <c r="A60" s="2" t="s">
        <v>453</v>
      </c>
      <c r="B60" s="2" t="s">
        <v>454</v>
      </c>
      <c r="C60" s="3" t="s">
        <v>455</v>
      </c>
      <c r="D60" s="2" t="s">
        <v>456</v>
      </c>
      <c r="E60" s="2" t="s">
        <v>233</v>
      </c>
      <c r="F60" s="2" t="b">
        <v>0</v>
      </c>
      <c r="G60" s="2" t="b">
        <v>0</v>
      </c>
      <c r="H60" s="2" t="b">
        <v>0</v>
      </c>
      <c r="I60" s="2" t="s">
        <v>33</v>
      </c>
      <c r="J60" s="6" t="s">
        <v>33</v>
      </c>
      <c r="K60" s="3" t="s">
        <v>234</v>
      </c>
      <c r="L60" s="4" t="s">
        <v>75</v>
      </c>
      <c r="M60" s="4" t="s">
        <v>457</v>
      </c>
      <c r="N60" s="4" t="s">
        <v>236</v>
      </c>
      <c r="O60" s="5" t="s">
        <v>26</v>
      </c>
      <c r="P60" s="5" t="s">
        <v>27</v>
      </c>
    </row>
    <row r="61" spans="1:16" ht="72" customHeight="1" x14ac:dyDescent="0.2">
      <c r="A61" s="2" t="s">
        <v>458</v>
      </c>
      <c r="B61" s="2" t="s">
        <v>459</v>
      </c>
      <c r="C61" s="3" t="s">
        <v>460</v>
      </c>
      <c r="D61" s="2" t="s">
        <v>461</v>
      </c>
      <c r="E61" s="2" t="s">
        <v>233</v>
      </c>
      <c r="F61" s="2" t="b">
        <v>1</v>
      </c>
      <c r="G61" s="2" t="b">
        <v>0</v>
      </c>
      <c r="H61" s="2" t="b">
        <v>0</v>
      </c>
      <c r="I61" s="2" t="s">
        <v>33</v>
      </c>
      <c r="J61" s="6" t="s">
        <v>33</v>
      </c>
      <c r="K61" s="3" t="s">
        <v>234</v>
      </c>
      <c r="L61" s="4" t="s">
        <v>75</v>
      </c>
      <c r="M61" s="4" t="s">
        <v>462</v>
      </c>
      <c r="N61" s="4" t="s">
        <v>236</v>
      </c>
      <c r="O61" s="5" t="s">
        <v>26</v>
      </c>
      <c r="P61" s="5" t="s">
        <v>27</v>
      </c>
    </row>
    <row r="62" spans="1:16" ht="72" customHeight="1" x14ac:dyDescent="0.2">
      <c r="A62" s="2" t="s">
        <v>463</v>
      </c>
      <c r="B62" s="2" t="s">
        <v>464</v>
      </c>
      <c r="C62" s="3" t="s">
        <v>465</v>
      </c>
      <c r="D62" s="2" t="s">
        <v>466</v>
      </c>
      <c r="E62" s="2" t="s">
        <v>129</v>
      </c>
      <c r="F62" s="2" t="b">
        <v>1</v>
      </c>
      <c r="G62" s="2" t="b">
        <v>0</v>
      </c>
      <c r="H62" s="2" t="b">
        <v>0</v>
      </c>
      <c r="I62" s="2" t="s">
        <v>130</v>
      </c>
      <c r="J62" s="6">
        <v>0</v>
      </c>
      <c r="K62" s="3" t="s">
        <v>131</v>
      </c>
      <c r="L62" s="4" t="s">
        <v>138</v>
      </c>
      <c r="M62" s="4" t="s">
        <v>467</v>
      </c>
      <c r="N62" s="4" t="s">
        <v>468</v>
      </c>
      <c r="O62" s="5" t="s">
        <v>26</v>
      </c>
      <c r="P62" s="5" t="s">
        <v>27</v>
      </c>
    </row>
    <row r="63" spans="1:16" ht="72" customHeight="1" x14ac:dyDescent="0.2">
      <c r="A63" s="2" t="s">
        <v>469</v>
      </c>
      <c r="B63" s="2" t="s">
        <v>470</v>
      </c>
      <c r="C63" s="3" t="s">
        <v>471</v>
      </c>
      <c r="D63" s="2" t="s">
        <v>52</v>
      </c>
      <c r="E63" s="2" t="s">
        <v>129</v>
      </c>
      <c r="F63" s="2" t="b">
        <v>0</v>
      </c>
      <c r="G63" s="2" t="b">
        <v>0</v>
      </c>
      <c r="H63" s="2" t="b">
        <v>0</v>
      </c>
      <c r="I63" s="2" t="s">
        <v>130</v>
      </c>
      <c r="J63" s="6">
        <v>0</v>
      </c>
      <c r="K63" s="3" t="s">
        <v>131</v>
      </c>
      <c r="L63" s="4" t="s">
        <v>85</v>
      </c>
      <c r="M63" s="4" t="s">
        <v>472</v>
      </c>
      <c r="N63" s="4" t="s">
        <v>473</v>
      </c>
      <c r="O63" s="5" t="s">
        <v>58</v>
      </c>
      <c r="P63" s="5" t="s">
        <v>59</v>
      </c>
    </row>
    <row r="64" spans="1:16" ht="72" customHeight="1" x14ac:dyDescent="0.2">
      <c r="A64" s="2" t="s">
        <v>474</v>
      </c>
      <c r="B64" s="2" t="s">
        <v>475</v>
      </c>
      <c r="C64" s="3" t="s">
        <v>476</v>
      </c>
      <c r="D64" s="2" t="s">
        <v>477</v>
      </c>
      <c r="E64" s="2" t="s">
        <v>478</v>
      </c>
      <c r="F64" s="2" t="b">
        <v>0</v>
      </c>
      <c r="G64" s="2" t="b">
        <v>0</v>
      </c>
      <c r="H64" s="2" t="b">
        <v>1</v>
      </c>
      <c r="I64" s="2" t="s">
        <v>33</v>
      </c>
      <c r="J64" s="6" t="s">
        <v>33</v>
      </c>
      <c r="K64" s="3" t="s">
        <v>479</v>
      </c>
      <c r="L64" s="4" t="s">
        <v>480</v>
      </c>
      <c r="M64" s="4" t="s">
        <v>481</v>
      </c>
      <c r="N64" s="4" t="s">
        <v>482</v>
      </c>
      <c r="O64" s="5" t="s">
        <v>26</v>
      </c>
      <c r="P64" s="5" t="s">
        <v>27</v>
      </c>
    </row>
    <row r="65" spans="1:16" ht="72" customHeight="1" x14ac:dyDescent="0.2">
      <c r="A65" s="2" t="s">
        <v>483</v>
      </c>
      <c r="B65" s="2" t="s">
        <v>484</v>
      </c>
      <c r="C65" s="3" t="s">
        <v>485</v>
      </c>
      <c r="D65" s="2" t="s">
        <v>486</v>
      </c>
      <c r="E65" s="2" t="s">
        <v>487</v>
      </c>
      <c r="F65" s="2" t="b">
        <v>0</v>
      </c>
      <c r="G65" s="2" t="b">
        <v>1</v>
      </c>
      <c r="H65" s="2" t="b">
        <v>0</v>
      </c>
      <c r="I65" s="2" t="s">
        <v>488</v>
      </c>
      <c r="J65" s="6">
        <v>0.77068547543212984</v>
      </c>
      <c r="K65" s="3" t="s">
        <v>489</v>
      </c>
      <c r="L65" s="4" t="s">
        <v>45</v>
      </c>
      <c r="M65" s="4" t="s">
        <v>490</v>
      </c>
      <c r="N65" s="4" t="s">
        <v>491</v>
      </c>
      <c r="O65" s="5" t="s">
        <v>26</v>
      </c>
      <c r="P65" s="5" t="s">
        <v>27</v>
      </c>
    </row>
    <row r="66" spans="1:16" ht="72" customHeight="1" x14ac:dyDescent="0.2">
      <c r="A66" s="2" t="s">
        <v>492</v>
      </c>
      <c r="B66" s="2" t="s">
        <v>493</v>
      </c>
      <c r="C66" s="3" t="s">
        <v>494</v>
      </c>
      <c r="D66" s="2" t="s">
        <v>495</v>
      </c>
      <c r="E66" s="2" t="s">
        <v>129</v>
      </c>
      <c r="F66" s="2" t="b">
        <v>0</v>
      </c>
      <c r="G66" s="2" t="b">
        <v>0</v>
      </c>
      <c r="H66" s="2" t="b">
        <v>0</v>
      </c>
      <c r="I66" s="2" t="s">
        <v>130</v>
      </c>
      <c r="J66" s="6">
        <v>0</v>
      </c>
      <c r="K66" s="3" t="s">
        <v>131</v>
      </c>
      <c r="L66" s="4" t="s">
        <v>85</v>
      </c>
      <c r="M66" s="4" t="s">
        <v>496</v>
      </c>
      <c r="N66" s="4" t="s">
        <v>497</v>
      </c>
      <c r="O66" s="5" t="s">
        <v>58</v>
      </c>
      <c r="P66" s="5" t="s">
        <v>59</v>
      </c>
    </row>
    <row r="67" spans="1:16" ht="72" customHeight="1" x14ac:dyDescent="0.2">
      <c r="A67" s="2" t="s">
        <v>498</v>
      </c>
      <c r="B67" s="2" t="s">
        <v>220</v>
      </c>
      <c r="C67" s="3" t="s">
        <v>221</v>
      </c>
      <c r="D67" s="2" t="s">
        <v>222</v>
      </c>
      <c r="E67" s="2" t="s">
        <v>499</v>
      </c>
      <c r="F67" s="2" t="b">
        <v>1</v>
      </c>
      <c r="G67" s="2" t="b">
        <v>1</v>
      </c>
      <c r="H67" s="2" t="b">
        <v>0</v>
      </c>
      <c r="I67" s="2" t="s">
        <v>224</v>
      </c>
      <c r="J67" s="6">
        <v>0.90361988224555623</v>
      </c>
      <c r="K67" s="3" t="s">
        <v>500</v>
      </c>
      <c r="L67" s="4" t="s">
        <v>226</v>
      </c>
      <c r="M67" s="4" t="s">
        <v>227</v>
      </c>
      <c r="N67" s="4" t="s">
        <v>228</v>
      </c>
      <c r="O67" s="5" t="s">
        <v>26</v>
      </c>
      <c r="P67" s="5" t="s">
        <v>27</v>
      </c>
    </row>
    <row r="68" spans="1:16" ht="72" customHeight="1" x14ac:dyDescent="0.2">
      <c r="A68" s="2" t="s">
        <v>501</v>
      </c>
      <c r="B68" s="2" t="s">
        <v>126</v>
      </c>
      <c r="C68" s="3" t="s">
        <v>127</v>
      </c>
      <c r="D68" s="2" t="s">
        <v>128</v>
      </c>
      <c r="E68" s="2" t="s">
        <v>129</v>
      </c>
      <c r="F68" s="2" t="b">
        <v>0</v>
      </c>
      <c r="G68" s="2" t="b">
        <v>0</v>
      </c>
      <c r="H68" s="2" t="b">
        <v>0</v>
      </c>
      <c r="I68" s="2" t="s">
        <v>130</v>
      </c>
      <c r="J68" s="6">
        <v>0</v>
      </c>
      <c r="K68" s="3" t="s">
        <v>131</v>
      </c>
      <c r="L68" s="4" t="s">
        <v>85</v>
      </c>
      <c r="M68" s="4" t="s">
        <v>132</v>
      </c>
      <c r="N68" s="4" t="s">
        <v>133</v>
      </c>
      <c r="O68" s="5" t="s">
        <v>58</v>
      </c>
      <c r="P68" s="5" t="s">
        <v>59</v>
      </c>
    </row>
    <row r="69" spans="1:16" ht="72" customHeight="1" x14ac:dyDescent="0.2">
      <c r="A69" s="2" t="s">
        <v>502</v>
      </c>
      <c r="B69" s="2" t="s">
        <v>503</v>
      </c>
      <c r="C69" s="3" t="s">
        <v>504</v>
      </c>
      <c r="D69" s="2" t="s">
        <v>505</v>
      </c>
      <c r="E69" s="2" t="s">
        <v>506</v>
      </c>
      <c r="F69" s="2" t="b">
        <v>0</v>
      </c>
      <c r="G69" s="2" t="b">
        <v>1</v>
      </c>
      <c r="H69" s="2" t="b">
        <v>0</v>
      </c>
      <c r="I69" s="2" t="s">
        <v>507</v>
      </c>
      <c r="J69" s="6">
        <v>0.8765166744803472</v>
      </c>
      <c r="K69" s="3" t="s">
        <v>508</v>
      </c>
      <c r="L69" s="4" t="s">
        <v>45</v>
      </c>
      <c r="M69" s="4" t="s">
        <v>509</v>
      </c>
      <c r="N69" s="4" t="s">
        <v>510</v>
      </c>
      <c r="O69" s="5" t="s">
        <v>26</v>
      </c>
      <c r="P69" s="5" t="s">
        <v>27</v>
      </c>
    </row>
    <row r="70" spans="1:16" ht="72" customHeight="1" x14ac:dyDescent="0.2">
      <c r="A70" s="2" t="s">
        <v>511</v>
      </c>
      <c r="B70" s="2" t="s">
        <v>61</v>
      </c>
      <c r="C70" s="3" t="s">
        <v>62</v>
      </c>
      <c r="D70" s="2" t="s">
        <v>63</v>
      </c>
      <c r="E70" s="2" t="s">
        <v>64</v>
      </c>
      <c r="F70" s="2" t="b">
        <v>1</v>
      </c>
      <c r="G70" s="2" t="b">
        <v>1</v>
      </c>
      <c r="H70" s="2" t="b">
        <v>0</v>
      </c>
      <c r="I70" s="2" t="s">
        <v>65</v>
      </c>
      <c r="J70" s="6">
        <v>0.64059124413294266</v>
      </c>
      <c r="K70" s="3" t="s">
        <v>66</v>
      </c>
      <c r="L70" s="4" t="s">
        <v>45</v>
      </c>
      <c r="M70" s="4" t="s">
        <v>67</v>
      </c>
      <c r="N70" s="4" t="s">
        <v>68</v>
      </c>
      <c r="O70" s="5" t="s">
        <v>26</v>
      </c>
      <c r="P70" s="5" t="s">
        <v>27</v>
      </c>
    </row>
    <row r="71" spans="1:16" ht="72" customHeight="1" x14ac:dyDescent="0.2">
      <c r="A71" s="2" t="s">
        <v>512</v>
      </c>
      <c r="B71" s="2" t="s">
        <v>513</v>
      </c>
      <c r="C71" s="3" t="s">
        <v>514</v>
      </c>
      <c r="D71" s="2" t="s">
        <v>515</v>
      </c>
      <c r="E71" s="2" t="s">
        <v>129</v>
      </c>
      <c r="F71" s="2" t="b">
        <v>0</v>
      </c>
      <c r="G71" s="2" t="b">
        <v>0</v>
      </c>
      <c r="H71" s="2" t="b">
        <v>0</v>
      </c>
      <c r="I71" s="2" t="s">
        <v>130</v>
      </c>
      <c r="J71" s="6">
        <v>0</v>
      </c>
      <c r="K71" s="3" t="s">
        <v>131</v>
      </c>
      <c r="L71" s="4" t="s">
        <v>85</v>
      </c>
      <c r="M71" s="4" t="s">
        <v>516</v>
      </c>
      <c r="N71" s="4" t="s">
        <v>517</v>
      </c>
      <c r="O71" s="5" t="s">
        <v>58</v>
      </c>
      <c r="P71" s="5" t="s">
        <v>59</v>
      </c>
    </row>
    <row r="72" spans="1:16" ht="72" customHeight="1" x14ac:dyDescent="0.2">
      <c r="A72" s="2" t="s">
        <v>518</v>
      </c>
      <c r="B72" s="2" t="s">
        <v>519</v>
      </c>
      <c r="C72" s="3" t="s">
        <v>520</v>
      </c>
      <c r="D72" s="2" t="s">
        <v>521</v>
      </c>
      <c r="E72" s="2" t="s">
        <v>522</v>
      </c>
      <c r="F72" s="2" t="b">
        <v>0</v>
      </c>
      <c r="G72" s="2" t="b">
        <v>1</v>
      </c>
      <c r="H72" s="2" t="b">
        <v>0</v>
      </c>
      <c r="I72" s="2" t="s">
        <v>523</v>
      </c>
      <c r="J72" s="6">
        <v>0.94329000958830544</v>
      </c>
      <c r="K72" s="3" t="s">
        <v>524</v>
      </c>
      <c r="L72" s="4" t="s">
        <v>195</v>
      </c>
      <c r="M72" s="4" t="s">
        <v>525</v>
      </c>
      <c r="N72" s="4" t="s">
        <v>197</v>
      </c>
      <c r="O72" s="5" t="s">
        <v>198</v>
      </c>
      <c r="P72" s="5" t="s">
        <v>199</v>
      </c>
    </row>
    <row r="73" spans="1:16" ht="72" customHeight="1" x14ac:dyDescent="0.2">
      <c r="A73" s="2" t="s">
        <v>526</v>
      </c>
      <c r="B73" s="2" t="s">
        <v>527</v>
      </c>
      <c r="C73" s="3" t="s">
        <v>528</v>
      </c>
      <c r="D73" s="2" t="s">
        <v>529</v>
      </c>
      <c r="E73" s="2" t="s">
        <v>145</v>
      </c>
      <c r="F73" s="2" t="b">
        <v>1</v>
      </c>
      <c r="G73" s="2" t="b">
        <v>1</v>
      </c>
      <c r="H73" s="2" t="b">
        <v>0</v>
      </c>
      <c r="I73" s="2" t="s">
        <v>530</v>
      </c>
      <c r="J73" s="6">
        <v>0.71869549366617114</v>
      </c>
      <c r="K73" s="3" t="s">
        <v>531</v>
      </c>
      <c r="L73" s="4" t="s">
        <v>532</v>
      </c>
      <c r="M73" s="4" t="s">
        <v>533</v>
      </c>
      <c r="N73" s="4" t="s">
        <v>534</v>
      </c>
      <c r="O73" s="5" t="s">
        <v>26</v>
      </c>
      <c r="P73" s="5" t="s">
        <v>27</v>
      </c>
    </row>
    <row r="74" spans="1:16" ht="72" customHeight="1" x14ac:dyDescent="0.2">
      <c r="A74" s="2" t="s">
        <v>535</v>
      </c>
      <c r="B74" s="2" t="s">
        <v>536</v>
      </c>
      <c r="C74" s="3" t="s">
        <v>537</v>
      </c>
      <c r="D74" s="2" t="s">
        <v>538</v>
      </c>
      <c r="E74" s="2" t="s">
        <v>539</v>
      </c>
      <c r="F74" s="2" t="b">
        <v>1</v>
      </c>
      <c r="G74" s="2" t="b">
        <v>0</v>
      </c>
      <c r="H74" s="2" t="b">
        <v>0</v>
      </c>
      <c r="I74" s="2" t="s">
        <v>33</v>
      </c>
      <c r="J74" s="6" t="s">
        <v>33</v>
      </c>
      <c r="K74" s="3" t="s">
        <v>540</v>
      </c>
      <c r="L74" s="4" t="s">
        <v>75</v>
      </c>
      <c r="M74" s="4" t="s">
        <v>319</v>
      </c>
      <c r="N74" s="4" t="s">
        <v>541</v>
      </c>
      <c r="O74" s="5" t="s">
        <v>26</v>
      </c>
      <c r="P74" s="5" t="s">
        <v>27</v>
      </c>
    </row>
    <row r="75" spans="1:16" ht="72" customHeight="1" x14ac:dyDescent="0.2">
      <c r="A75" s="2" t="s">
        <v>542</v>
      </c>
      <c r="B75" s="2" t="s">
        <v>543</v>
      </c>
      <c r="C75" s="3" t="s">
        <v>544</v>
      </c>
      <c r="D75" s="2" t="s">
        <v>545</v>
      </c>
      <c r="E75" s="2" t="s">
        <v>129</v>
      </c>
      <c r="F75" s="2" t="b">
        <v>1</v>
      </c>
      <c r="G75" s="2" t="b">
        <v>0</v>
      </c>
      <c r="H75" s="2" t="b">
        <v>0</v>
      </c>
      <c r="I75" s="2" t="s">
        <v>130</v>
      </c>
      <c r="J75" s="6">
        <v>0</v>
      </c>
      <c r="K75" s="3" t="s">
        <v>131</v>
      </c>
      <c r="L75" s="4" t="s">
        <v>138</v>
      </c>
      <c r="M75" s="4" t="s">
        <v>546</v>
      </c>
      <c r="N75" s="4" t="s">
        <v>547</v>
      </c>
      <c r="O75" s="5" t="s">
        <v>26</v>
      </c>
      <c r="P75" s="5" t="s">
        <v>27</v>
      </c>
    </row>
    <row r="76" spans="1:16" ht="72" customHeight="1" x14ac:dyDescent="0.2">
      <c r="A76" s="2" t="s">
        <v>548</v>
      </c>
      <c r="B76" s="2" t="s">
        <v>549</v>
      </c>
      <c r="C76" s="3" t="s">
        <v>550</v>
      </c>
      <c r="D76" s="2" t="s">
        <v>551</v>
      </c>
      <c r="E76" s="2" t="s">
        <v>552</v>
      </c>
      <c r="F76" s="2" t="b">
        <v>1</v>
      </c>
      <c r="G76" s="2" t="b">
        <v>1</v>
      </c>
      <c r="H76" s="2" t="b">
        <v>0</v>
      </c>
      <c r="I76" s="2" t="s">
        <v>553</v>
      </c>
      <c r="J76" s="6">
        <v>0.121003544519398</v>
      </c>
      <c r="K76" s="3" t="s">
        <v>554</v>
      </c>
      <c r="L76" s="4" t="s">
        <v>45</v>
      </c>
      <c r="M76" s="4" t="s">
        <v>555</v>
      </c>
      <c r="N76" s="4" t="s">
        <v>556</v>
      </c>
      <c r="O76" s="5" t="s">
        <v>26</v>
      </c>
      <c r="P76" s="5" t="s">
        <v>27</v>
      </c>
    </row>
    <row r="77" spans="1:16" ht="72" customHeight="1" x14ac:dyDescent="0.2">
      <c r="A77" s="2" t="s">
        <v>557</v>
      </c>
      <c r="B77" s="2" t="s">
        <v>558</v>
      </c>
      <c r="C77" s="3" t="s">
        <v>559</v>
      </c>
      <c r="D77" s="2" t="s">
        <v>560</v>
      </c>
      <c r="E77" s="2" t="s">
        <v>561</v>
      </c>
      <c r="F77" s="2" t="b">
        <v>0</v>
      </c>
      <c r="G77" s="2" t="b">
        <v>1</v>
      </c>
      <c r="H77" s="2" t="b">
        <v>0</v>
      </c>
      <c r="I77" s="2" t="s">
        <v>562</v>
      </c>
      <c r="J77" s="6">
        <v>0.77460916650397915</v>
      </c>
      <c r="K77" s="3" t="s">
        <v>563</v>
      </c>
      <c r="L77" s="4" t="s">
        <v>370</v>
      </c>
      <c r="M77" s="4" t="s">
        <v>564</v>
      </c>
      <c r="N77" s="4" t="s">
        <v>565</v>
      </c>
      <c r="O77" s="5" t="s">
        <v>58</v>
      </c>
      <c r="P77" s="5" t="s">
        <v>59</v>
      </c>
    </row>
    <row r="78" spans="1:16" ht="72" customHeight="1" x14ac:dyDescent="0.2">
      <c r="A78" s="2" t="s">
        <v>566</v>
      </c>
      <c r="B78" s="2" t="s">
        <v>135</v>
      </c>
      <c r="C78" s="3" t="s">
        <v>136</v>
      </c>
      <c r="D78" s="2" t="s">
        <v>137</v>
      </c>
      <c r="E78" s="2" t="s">
        <v>129</v>
      </c>
      <c r="F78" s="2" t="b">
        <v>1</v>
      </c>
      <c r="G78" s="2" t="b">
        <v>0</v>
      </c>
      <c r="H78" s="2" t="b">
        <v>0</v>
      </c>
      <c r="I78" s="2" t="s">
        <v>130</v>
      </c>
      <c r="J78" s="6">
        <v>0</v>
      </c>
      <c r="K78" s="3" t="s">
        <v>131</v>
      </c>
      <c r="L78" s="4" t="s">
        <v>138</v>
      </c>
      <c r="M78" s="4" t="s">
        <v>139</v>
      </c>
      <c r="N78" s="4" t="s">
        <v>140</v>
      </c>
      <c r="O78" s="5" t="s">
        <v>26</v>
      </c>
      <c r="P78" s="5" t="s">
        <v>27</v>
      </c>
    </row>
    <row r="79" spans="1:16" ht="72" customHeight="1" x14ac:dyDescent="0.2">
      <c r="A79" s="2" t="s">
        <v>567</v>
      </c>
      <c r="B79" s="2" t="s">
        <v>126</v>
      </c>
      <c r="C79" s="3" t="s">
        <v>127</v>
      </c>
      <c r="D79" s="2" t="s">
        <v>128</v>
      </c>
      <c r="E79" s="2" t="s">
        <v>129</v>
      </c>
      <c r="F79" s="2" t="b">
        <v>0</v>
      </c>
      <c r="G79" s="2" t="b">
        <v>0</v>
      </c>
      <c r="H79" s="2" t="b">
        <v>0</v>
      </c>
      <c r="I79" s="2" t="s">
        <v>130</v>
      </c>
      <c r="J79" s="6">
        <v>0</v>
      </c>
      <c r="K79" s="3" t="s">
        <v>131</v>
      </c>
      <c r="L79" s="4" t="s">
        <v>85</v>
      </c>
      <c r="M79" s="4" t="s">
        <v>132</v>
      </c>
      <c r="N79" s="4" t="s">
        <v>133</v>
      </c>
      <c r="O79" s="5" t="s">
        <v>58</v>
      </c>
      <c r="P79" s="5" t="s">
        <v>59</v>
      </c>
    </row>
    <row r="80" spans="1:16" ht="72" customHeight="1" x14ac:dyDescent="0.2">
      <c r="A80" s="2" t="s">
        <v>568</v>
      </c>
      <c r="B80" s="2" t="s">
        <v>569</v>
      </c>
      <c r="C80" s="3" t="s">
        <v>570</v>
      </c>
      <c r="D80" s="2" t="s">
        <v>571</v>
      </c>
      <c r="E80" s="2" t="s">
        <v>129</v>
      </c>
      <c r="F80" s="2" t="b">
        <v>0</v>
      </c>
      <c r="G80" s="2" t="b">
        <v>0</v>
      </c>
      <c r="H80" s="2" t="b">
        <v>0</v>
      </c>
      <c r="I80" s="2" t="s">
        <v>130</v>
      </c>
      <c r="J80" s="6">
        <v>0</v>
      </c>
      <c r="K80" s="3" t="s">
        <v>131</v>
      </c>
      <c r="L80" s="4" t="s">
        <v>85</v>
      </c>
      <c r="M80" s="4" t="s">
        <v>572</v>
      </c>
      <c r="N80" s="4" t="s">
        <v>573</v>
      </c>
      <c r="O80" s="5" t="s">
        <v>58</v>
      </c>
      <c r="P80" s="5" t="s">
        <v>59</v>
      </c>
    </row>
    <row r="81" spans="1:16" ht="72" customHeight="1" x14ac:dyDescent="0.2">
      <c r="A81" s="2" t="s">
        <v>574</v>
      </c>
      <c r="B81" s="2" t="s">
        <v>575</v>
      </c>
      <c r="C81" s="3" t="s">
        <v>576</v>
      </c>
      <c r="D81" s="2" t="s">
        <v>577</v>
      </c>
      <c r="E81" s="2" t="s">
        <v>578</v>
      </c>
      <c r="F81" s="2" t="b">
        <v>0</v>
      </c>
      <c r="G81" s="2" t="b">
        <v>1</v>
      </c>
      <c r="H81" s="2" t="b">
        <v>0</v>
      </c>
      <c r="I81" s="2" t="s">
        <v>579</v>
      </c>
      <c r="J81" s="6">
        <v>0.67396118350450462</v>
      </c>
      <c r="K81" s="3" t="s">
        <v>580</v>
      </c>
      <c r="L81" s="4" t="s">
        <v>94</v>
      </c>
      <c r="M81" s="4" t="s">
        <v>581</v>
      </c>
      <c r="N81" s="4" t="s">
        <v>582</v>
      </c>
      <c r="O81" s="5" t="s">
        <v>58</v>
      </c>
      <c r="P81" s="5" t="s">
        <v>59</v>
      </c>
    </row>
    <row r="82" spans="1:16" ht="72" customHeight="1" x14ac:dyDescent="0.2">
      <c r="A82" s="2" t="s">
        <v>583</v>
      </c>
      <c r="B82" s="2" t="s">
        <v>98</v>
      </c>
      <c r="C82" s="3" t="s">
        <v>99</v>
      </c>
      <c r="D82" s="2" t="s">
        <v>100</v>
      </c>
      <c r="E82" s="2" t="s">
        <v>101</v>
      </c>
      <c r="F82" s="2" t="b">
        <v>0</v>
      </c>
      <c r="G82" s="2" t="b">
        <v>1</v>
      </c>
      <c r="H82" s="2" t="b">
        <v>0</v>
      </c>
      <c r="I82" s="2" t="s">
        <v>102</v>
      </c>
      <c r="J82" s="6">
        <v>0.8403712188850242</v>
      </c>
      <c r="K82" s="3" t="s">
        <v>103</v>
      </c>
      <c r="L82" s="4" t="s">
        <v>45</v>
      </c>
      <c r="M82" s="4" t="s">
        <v>104</v>
      </c>
      <c r="N82" s="4" t="s">
        <v>105</v>
      </c>
      <c r="O82" s="5" t="s">
        <v>26</v>
      </c>
      <c r="P82" s="5" t="s">
        <v>27</v>
      </c>
    </row>
    <row r="83" spans="1:16" ht="72" customHeight="1" x14ac:dyDescent="0.2">
      <c r="A83" s="2" t="s">
        <v>584</v>
      </c>
      <c r="B83" s="2" t="s">
        <v>585</v>
      </c>
      <c r="C83" s="3" t="s">
        <v>586</v>
      </c>
      <c r="D83" s="2" t="s">
        <v>587</v>
      </c>
      <c r="E83" s="2" t="s">
        <v>145</v>
      </c>
      <c r="F83" s="2" t="b">
        <v>1</v>
      </c>
      <c r="G83" s="2" t="b">
        <v>1</v>
      </c>
      <c r="H83" s="2" t="b">
        <v>0</v>
      </c>
      <c r="I83" s="2" t="s">
        <v>146</v>
      </c>
      <c r="J83" s="6">
        <v>0.73942498104110099</v>
      </c>
      <c r="K83" s="3" t="s">
        <v>588</v>
      </c>
      <c r="L83" s="4" t="s">
        <v>23</v>
      </c>
      <c r="M83" s="4" t="s">
        <v>589</v>
      </c>
      <c r="N83" s="4" t="s">
        <v>590</v>
      </c>
      <c r="O83" s="5" t="s">
        <v>26</v>
      </c>
      <c r="P83" s="5" t="s">
        <v>27</v>
      </c>
    </row>
    <row r="84" spans="1:16" ht="72" customHeight="1" x14ac:dyDescent="0.2">
      <c r="A84" s="2" t="s">
        <v>591</v>
      </c>
      <c r="B84" s="2" t="s">
        <v>151</v>
      </c>
      <c r="C84" s="3" t="s">
        <v>152</v>
      </c>
      <c r="D84" s="2" t="s">
        <v>153</v>
      </c>
      <c r="E84" s="2" t="s">
        <v>592</v>
      </c>
      <c r="F84" s="2" t="b">
        <v>1</v>
      </c>
      <c r="G84" s="2" t="b">
        <v>1</v>
      </c>
      <c r="H84" s="2" t="b">
        <v>0</v>
      </c>
      <c r="I84" s="2" t="s">
        <v>593</v>
      </c>
      <c r="J84" s="6">
        <v>0.81794913772191968</v>
      </c>
      <c r="K84" s="3" t="s">
        <v>594</v>
      </c>
      <c r="L84" s="4" t="s">
        <v>45</v>
      </c>
      <c r="M84" s="4" t="s">
        <v>595</v>
      </c>
      <c r="N84" s="4" t="s">
        <v>596</v>
      </c>
      <c r="O84" s="5" t="s">
        <v>26</v>
      </c>
      <c r="P84" s="5" t="s">
        <v>27</v>
      </c>
    </row>
    <row r="85" spans="1:16" ht="72" customHeight="1" x14ac:dyDescent="0.2">
      <c r="A85" s="2" t="s">
        <v>597</v>
      </c>
      <c r="B85" s="2" t="s">
        <v>598</v>
      </c>
      <c r="C85" s="3" t="s">
        <v>599</v>
      </c>
      <c r="D85" s="2" t="s">
        <v>600</v>
      </c>
      <c r="E85" s="2" t="s">
        <v>361</v>
      </c>
      <c r="F85" s="2" t="b">
        <v>1</v>
      </c>
      <c r="G85" s="2" t="b">
        <v>1</v>
      </c>
      <c r="H85" s="2" t="b">
        <v>0</v>
      </c>
      <c r="I85" s="2" t="s">
        <v>601</v>
      </c>
      <c r="J85" s="6">
        <v>0.58240863123871234</v>
      </c>
      <c r="K85" s="3" t="s">
        <v>602</v>
      </c>
      <c r="L85" s="4" t="s">
        <v>45</v>
      </c>
      <c r="M85" s="4" t="s">
        <v>603</v>
      </c>
      <c r="N85" s="4" t="s">
        <v>604</v>
      </c>
      <c r="O85" s="5" t="s">
        <v>26</v>
      </c>
      <c r="P85" s="5" t="s">
        <v>27</v>
      </c>
    </row>
    <row r="86" spans="1:16" ht="72" customHeight="1" x14ac:dyDescent="0.2">
      <c r="A86" s="2" t="s">
        <v>605</v>
      </c>
      <c r="B86" s="2" t="s">
        <v>606</v>
      </c>
      <c r="C86" s="3" t="s">
        <v>607</v>
      </c>
      <c r="D86" s="2" t="s">
        <v>608</v>
      </c>
      <c r="E86" s="2" t="s">
        <v>241</v>
      </c>
      <c r="F86" s="2" t="b">
        <v>0</v>
      </c>
      <c r="G86" s="2" t="b">
        <v>1</v>
      </c>
      <c r="H86" s="2" t="b">
        <v>0</v>
      </c>
      <c r="I86" s="2" t="s">
        <v>609</v>
      </c>
      <c r="J86" s="6">
        <v>0.85190488140715082</v>
      </c>
      <c r="K86" s="3" t="s">
        <v>610</v>
      </c>
      <c r="L86" s="4" t="s">
        <v>94</v>
      </c>
      <c r="M86" s="4" t="s">
        <v>611</v>
      </c>
      <c r="N86" s="4" t="s">
        <v>612</v>
      </c>
      <c r="O86" s="5" t="s">
        <v>58</v>
      </c>
      <c r="P86" s="5" t="s">
        <v>59</v>
      </c>
    </row>
    <row r="87" spans="1:16" ht="72" customHeight="1" x14ac:dyDescent="0.2">
      <c r="A87" s="2" t="s">
        <v>613</v>
      </c>
      <c r="B87" s="2" t="s">
        <v>614</v>
      </c>
      <c r="C87" s="3" t="s">
        <v>615</v>
      </c>
      <c r="D87" s="2" t="s">
        <v>616</v>
      </c>
      <c r="E87" s="2" t="s">
        <v>72</v>
      </c>
      <c r="F87" s="2" t="b">
        <v>1</v>
      </c>
      <c r="G87" s="2" t="b">
        <v>0</v>
      </c>
      <c r="H87" s="2" t="b">
        <v>1</v>
      </c>
      <c r="I87" s="2" t="s">
        <v>33</v>
      </c>
      <c r="J87" s="6" t="s">
        <v>33</v>
      </c>
      <c r="K87" s="3" t="s">
        <v>617</v>
      </c>
      <c r="L87" s="4" t="s">
        <v>35</v>
      </c>
      <c r="M87" s="4" t="s">
        <v>618</v>
      </c>
      <c r="N87" s="4" t="s">
        <v>619</v>
      </c>
      <c r="O87" s="5" t="s">
        <v>26</v>
      </c>
      <c r="P87" s="5" t="s">
        <v>27</v>
      </c>
    </row>
    <row r="88" spans="1:16" ht="72" customHeight="1" x14ac:dyDescent="0.2">
      <c r="A88" s="2" t="s">
        <v>620</v>
      </c>
      <c r="B88" s="2" t="s">
        <v>621</v>
      </c>
      <c r="C88" s="3" t="s">
        <v>622</v>
      </c>
      <c r="D88" s="2" t="s">
        <v>623</v>
      </c>
      <c r="E88" s="2" t="s">
        <v>624</v>
      </c>
      <c r="F88" s="2" t="b">
        <v>1</v>
      </c>
      <c r="G88" s="2" t="b">
        <v>0</v>
      </c>
      <c r="H88" s="2" t="b">
        <v>1</v>
      </c>
      <c r="I88" s="2" t="s">
        <v>33</v>
      </c>
      <c r="J88" s="6" t="s">
        <v>33</v>
      </c>
      <c r="K88" s="3" t="s">
        <v>625</v>
      </c>
      <c r="L88" s="4" t="s">
        <v>35</v>
      </c>
      <c r="M88" s="4" t="s">
        <v>626</v>
      </c>
      <c r="N88" s="4" t="s">
        <v>627</v>
      </c>
      <c r="O88" s="5" t="s">
        <v>26</v>
      </c>
      <c r="P88" s="5" t="s">
        <v>27</v>
      </c>
    </row>
    <row r="89" spans="1:16" ht="72" customHeight="1" x14ac:dyDescent="0.2">
      <c r="A89" s="2" t="s">
        <v>628</v>
      </c>
      <c r="B89" s="2" t="s">
        <v>135</v>
      </c>
      <c r="C89" s="3" t="s">
        <v>136</v>
      </c>
      <c r="D89" s="2" t="s">
        <v>137</v>
      </c>
      <c r="E89" s="2" t="s">
        <v>129</v>
      </c>
      <c r="F89" s="2" t="b">
        <v>1</v>
      </c>
      <c r="G89" s="2" t="b">
        <v>0</v>
      </c>
      <c r="H89" s="2" t="b">
        <v>0</v>
      </c>
      <c r="I89" s="2" t="s">
        <v>130</v>
      </c>
      <c r="J89" s="6">
        <v>0</v>
      </c>
      <c r="K89" s="3" t="s">
        <v>131</v>
      </c>
      <c r="L89" s="4" t="s">
        <v>138</v>
      </c>
      <c r="M89" s="4" t="s">
        <v>139</v>
      </c>
      <c r="N89" s="4" t="s">
        <v>140</v>
      </c>
      <c r="O89" s="5" t="s">
        <v>26</v>
      </c>
      <c r="P89" s="5" t="s">
        <v>27</v>
      </c>
    </row>
    <row r="90" spans="1:16" ht="72" customHeight="1" x14ac:dyDescent="0.2">
      <c r="A90" s="2" t="s">
        <v>629</v>
      </c>
      <c r="B90" s="2" t="s">
        <v>630</v>
      </c>
      <c r="C90" s="3" t="s">
        <v>631</v>
      </c>
      <c r="D90" s="2" t="s">
        <v>632</v>
      </c>
      <c r="E90" s="2" t="s">
        <v>129</v>
      </c>
      <c r="F90" s="2" t="b">
        <v>0</v>
      </c>
      <c r="G90" s="2" t="b">
        <v>0</v>
      </c>
      <c r="H90" s="2" t="b">
        <v>0</v>
      </c>
      <c r="I90" s="2" t="s">
        <v>130</v>
      </c>
      <c r="J90" s="6">
        <v>0</v>
      </c>
      <c r="K90" s="3" t="s">
        <v>131</v>
      </c>
      <c r="L90" s="4" t="s">
        <v>85</v>
      </c>
      <c r="M90" s="4" t="s">
        <v>633</v>
      </c>
      <c r="N90" s="4" t="s">
        <v>634</v>
      </c>
      <c r="O90" s="5" t="s">
        <v>58</v>
      </c>
      <c r="P90" s="5" t="s">
        <v>59</v>
      </c>
    </row>
    <row r="91" spans="1:16" ht="72" customHeight="1" x14ac:dyDescent="0.2">
      <c r="A91" s="2" t="s">
        <v>635</v>
      </c>
      <c r="B91" s="2" t="s">
        <v>636</v>
      </c>
      <c r="C91" s="3" t="s">
        <v>637</v>
      </c>
      <c r="D91" s="2" t="s">
        <v>638</v>
      </c>
      <c r="E91" s="2" t="s">
        <v>639</v>
      </c>
      <c r="F91" s="2" t="b">
        <v>0</v>
      </c>
      <c r="G91" s="2" t="b">
        <v>1</v>
      </c>
      <c r="H91" s="2" t="b">
        <v>0</v>
      </c>
      <c r="I91" s="2" t="s">
        <v>640</v>
      </c>
      <c r="J91" s="6">
        <v>0.49306093375267152</v>
      </c>
      <c r="K91" s="3" t="s">
        <v>641</v>
      </c>
      <c r="L91" s="4" t="s">
        <v>94</v>
      </c>
      <c r="M91" s="4" t="s">
        <v>642</v>
      </c>
      <c r="N91" s="4" t="s">
        <v>643</v>
      </c>
      <c r="O91" s="5" t="s">
        <v>58</v>
      </c>
      <c r="P91" s="5" t="s">
        <v>59</v>
      </c>
    </row>
    <row r="92" spans="1:16" ht="72" customHeight="1" x14ac:dyDescent="0.2">
      <c r="A92" s="2" t="s">
        <v>644</v>
      </c>
      <c r="B92" s="2" t="s">
        <v>180</v>
      </c>
      <c r="C92" s="3" t="s">
        <v>181</v>
      </c>
      <c r="D92" s="2" t="s">
        <v>182</v>
      </c>
      <c r="E92" s="2" t="s">
        <v>645</v>
      </c>
      <c r="F92" s="2" t="b">
        <v>0</v>
      </c>
      <c r="G92" s="2" t="b">
        <v>1</v>
      </c>
      <c r="H92" s="2" t="b">
        <v>0</v>
      </c>
      <c r="I92" s="2" t="s">
        <v>646</v>
      </c>
      <c r="J92" s="6">
        <v>0.45938589141585889</v>
      </c>
      <c r="K92" s="3" t="s">
        <v>647</v>
      </c>
      <c r="L92" s="4" t="s">
        <v>85</v>
      </c>
      <c r="M92" s="4" t="s">
        <v>648</v>
      </c>
      <c r="N92" s="4" t="s">
        <v>649</v>
      </c>
      <c r="O92" s="5" t="s">
        <v>58</v>
      </c>
      <c r="P92" s="5" t="s">
        <v>59</v>
      </c>
    </row>
    <row r="93" spans="1:16" ht="72" customHeight="1" x14ac:dyDescent="0.2">
      <c r="A93" s="2" t="s">
        <v>650</v>
      </c>
      <c r="B93" s="2" t="s">
        <v>651</v>
      </c>
      <c r="C93" s="3" t="s">
        <v>652</v>
      </c>
      <c r="D93" s="2" t="s">
        <v>653</v>
      </c>
      <c r="E93" s="2" t="s">
        <v>72</v>
      </c>
      <c r="F93" s="2" t="b">
        <v>1</v>
      </c>
      <c r="G93" s="2" t="b">
        <v>1</v>
      </c>
      <c r="H93" s="2" t="b">
        <v>0</v>
      </c>
      <c r="I93" s="2" t="s">
        <v>654</v>
      </c>
      <c r="J93" s="6">
        <v>0.34432980163915161</v>
      </c>
      <c r="K93" s="3" t="s">
        <v>655</v>
      </c>
      <c r="L93" s="4" t="s">
        <v>45</v>
      </c>
      <c r="M93" s="4" t="s">
        <v>656</v>
      </c>
      <c r="N93" s="4" t="s">
        <v>657</v>
      </c>
      <c r="O93" s="5" t="s">
        <v>26</v>
      </c>
      <c r="P93" s="5" t="s">
        <v>27</v>
      </c>
    </row>
    <row r="94" spans="1:16" ht="72" customHeight="1" x14ac:dyDescent="0.2">
      <c r="A94" s="2" t="s">
        <v>658</v>
      </c>
      <c r="B94" s="2" t="s">
        <v>659</v>
      </c>
      <c r="C94" s="3" t="s">
        <v>660</v>
      </c>
      <c r="D94" s="2" t="s">
        <v>661</v>
      </c>
      <c r="E94" s="2" t="s">
        <v>662</v>
      </c>
      <c r="F94" s="2" t="b">
        <v>1</v>
      </c>
      <c r="G94" s="2" t="b">
        <v>0</v>
      </c>
      <c r="H94" s="2" t="b">
        <v>1</v>
      </c>
      <c r="I94" s="2" t="s">
        <v>33</v>
      </c>
      <c r="J94" s="6" t="s">
        <v>33</v>
      </c>
      <c r="K94" s="3" t="s">
        <v>663</v>
      </c>
      <c r="L94" s="4" t="s">
        <v>35</v>
      </c>
      <c r="M94" s="4" t="s">
        <v>664</v>
      </c>
      <c r="N94" s="4" t="s">
        <v>665</v>
      </c>
      <c r="O94" s="5" t="s">
        <v>26</v>
      </c>
      <c r="P94" s="5" t="s">
        <v>27</v>
      </c>
    </row>
    <row r="95" spans="1:16" ht="72" customHeight="1" x14ac:dyDescent="0.2">
      <c r="A95" s="2" t="s">
        <v>666</v>
      </c>
      <c r="B95" s="2" t="s">
        <v>667</v>
      </c>
      <c r="C95" s="3" t="s">
        <v>668</v>
      </c>
      <c r="D95" s="2" t="s">
        <v>669</v>
      </c>
      <c r="E95" s="2" t="s">
        <v>670</v>
      </c>
      <c r="F95" s="2" t="b">
        <v>1</v>
      </c>
      <c r="G95" s="2" t="b">
        <v>0</v>
      </c>
      <c r="H95" s="2" t="b">
        <v>0</v>
      </c>
      <c r="I95" s="2" t="s">
        <v>33</v>
      </c>
      <c r="J95" s="6" t="s">
        <v>33</v>
      </c>
      <c r="K95" s="3" t="s">
        <v>671</v>
      </c>
      <c r="L95" s="4" t="s">
        <v>75</v>
      </c>
      <c r="M95" s="4" t="s">
        <v>672</v>
      </c>
      <c r="N95" s="4" t="s">
        <v>673</v>
      </c>
      <c r="O95" s="5" t="s">
        <v>26</v>
      </c>
      <c r="P95" s="5" t="s">
        <v>27</v>
      </c>
    </row>
    <row r="96" spans="1:16" ht="72" customHeight="1" x14ac:dyDescent="0.2">
      <c r="A96" s="2" t="s">
        <v>674</v>
      </c>
      <c r="B96" s="2" t="s">
        <v>675</v>
      </c>
      <c r="C96" s="3" t="s">
        <v>676</v>
      </c>
      <c r="D96" s="2" t="s">
        <v>677</v>
      </c>
      <c r="E96" s="2" t="s">
        <v>521</v>
      </c>
      <c r="F96" s="2" t="b">
        <v>1</v>
      </c>
      <c r="G96" s="2" t="b">
        <v>1</v>
      </c>
      <c r="H96" s="2" t="b">
        <v>0</v>
      </c>
      <c r="I96" s="2" t="s">
        <v>678</v>
      </c>
      <c r="J96" s="6">
        <v>0.42307304353144481</v>
      </c>
      <c r="K96" s="3" t="s">
        <v>679</v>
      </c>
      <c r="L96" s="4" t="s">
        <v>532</v>
      </c>
      <c r="M96" s="4" t="s">
        <v>680</v>
      </c>
      <c r="N96" s="4" t="s">
        <v>681</v>
      </c>
      <c r="O96" s="5" t="s">
        <v>26</v>
      </c>
      <c r="P96" s="5" t="s">
        <v>27</v>
      </c>
    </row>
    <row r="97" spans="1:16" ht="72" customHeight="1" x14ac:dyDescent="0.2">
      <c r="A97" s="2" t="s">
        <v>682</v>
      </c>
      <c r="B97" s="2" t="s">
        <v>683</v>
      </c>
      <c r="C97" s="3" t="s">
        <v>684</v>
      </c>
      <c r="D97" s="2" t="s">
        <v>685</v>
      </c>
      <c r="E97" s="2" t="s">
        <v>686</v>
      </c>
      <c r="F97" s="2" t="b">
        <v>0</v>
      </c>
      <c r="G97" s="2" t="b">
        <v>1</v>
      </c>
      <c r="H97" s="2" t="b">
        <v>0</v>
      </c>
      <c r="I97" s="2" t="s">
        <v>687</v>
      </c>
      <c r="J97" s="6">
        <v>0.60241016224708677</v>
      </c>
      <c r="K97" s="3" t="s">
        <v>688</v>
      </c>
      <c r="L97" s="4" t="s">
        <v>85</v>
      </c>
      <c r="M97" s="4" t="s">
        <v>689</v>
      </c>
      <c r="N97" s="4" t="s">
        <v>690</v>
      </c>
      <c r="O97" s="5" t="s">
        <v>58</v>
      </c>
      <c r="P97" s="5" t="s">
        <v>59</v>
      </c>
    </row>
    <row r="98" spans="1:16" ht="72" customHeight="1" x14ac:dyDescent="0.2">
      <c r="A98" s="2" t="s">
        <v>691</v>
      </c>
      <c r="B98" s="2" t="s">
        <v>692</v>
      </c>
      <c r="C98" s="3" t="s">
        <v>693</v>
      </c>
      <c r="D98" s="2" t="s">
        <v>694</v>
      </c>
      <c r="E98" s="2" t="s">
        <v>129</v>
      </c>
      <c r="F98" s="2" t="b">
        <v>0</v>
      </c>
      <c r="G98" s="2" t="b">
        <v>0</v>
      </c>
      <c r="H98" s="2" t="b">
        <v>0</v>
      </c>
      <c r="I98" s="2" t="s">
        <v>130</v>
      </c>
      <c r="J98" s="6">
        <v>0</v>
      </c>
      <c r="K98" s="3" t="s">
        <v>131</v>
      </c>
      <c r="L98" s="4" t="s">
        <v>85</v>
      </c>
      <c r="M98" s="4" t="s">
        <v>695</v>
      </c>
      <c r="N98" s="4" t="s">
        <v>696</v>
      </c>
      <c r="O98" s="5" t="s">
        <v>58</v>
      </c>
      <c r="P98" s="5" t="s">
        <v>59</v>
      </c>
    </row>
    <row r="99" spans="1:16" ht="72" customHeight="1" x14ac:dyDescent="0.2">
      <c r="A99" s="2" t="s">
        <v>697</v>
      </c>
      <c r="B99" s="2" t="s">
        <v>374</v>
      </c>
      <c r="C99" s="3" t="s">
        <v>375</v>
      </c>
      <c r="D99" s="2" t="s">
        <v>376</v>
      </c>
      <c r="E99" s="2" t="s">
        <v>377</v>
      </c>
      <c r="F99" s="2" t="b">
        <v>1</v>
      </c>
      <c r="G99" s="2" t="b">
        <v>0</v>
      </c>
      <c r="H99" s="2" t="b">
        <v>1</v>
      </c>
      <c r="I99" s="2" t="s">
        <v>33</v>
      </c>
      <c r="J99" s="6" t="s">
        <v>33</v>
      </c>
      <c r="K99" s="3" t="s">
        <v>378</v>
      </c>
      <c r="L99" s="4" t="s">
        <v>35</v>
      </c>
      <c r="M99" s="4" t="s">
        <v>379</v>
      </c>
      <c r="N99" s="4" t="s">
        <v>380</v>
      </c>
      <c r="O99" s="5" t="s">
        <v>26</v>
      </c>
      <c r="P99" s="5" t="s">
        <v>27</v>
      </c>
    </row>
    <row r="100" spans="1:16" ht="72" customHeight="1" x14ac:dyDescent="0.2">
      <c r="A100" s="2" t="s">
        <v>698</v>
      </c>
      <c r="B100" s="2" t="s">
        <v>262</v>
      </c>
      <c r="C100" s="3" t="s">
        <v>263</v>
      </c>
      <c r="D100" s="2" t="s">
        <v>264</v>
      </c>
      <c r="E100" s="2" t="s">
        <v>129</v>
      </c>
      <c r="F100" s="2" t="b">
        <v>0</v>
      </c>
      <c r="G100" s="2" t="b">
        <v>0</v>
      </c>
      <c r="H100" s="2" t="b">
        <v>0</v>
      </c>
      <c r="I100" s="2" t="s">
        <v>130</v>
      </c>
      <c r="J100" s="6">
        <v>0</v>
      </c>
      <c r="K100" s="3" t="s">
        <v>131</v>
      </c>
      <c r="L100" s="4" t="s">
        <v>85</v>
      </c>
      <c r="M100" s="4" t="s">
        <v>265</v>
      </c>
      <c r="N100" s="4" t="s">
        <v>266</v>
      </c>
      <c r="O100" s="5" t="s">
        <v>58</v>
      </c>
      <c r="P100" s="5" t="s">
        <v>59</v>
      </c>
    </row>
    <row r="101" spans="1:16" ht="72" customHeight="1" x14ac:dyDescent="0.2">
      <c r="A101" s="2" t="s">
        <v>699</v>
      </c>
      <c r="B101" s="2" t="s">
        <v>700</v>
      </c>
      <c r="C101" s="3" t="s">
        <v>701</v>
      </c>
      <c r="D101" s="2" t="s">
        <v>702</v>
      </c>
      <c r="E101" s="2" t="s">
        <v>703</v>
      </c>
      <c r="F101" s="2" t="b">
        <v>0</v>
      </c>
      <c r="G101" s="2" t="b">
        <v>0</v>
      </c>
      <c r="H101" s="2" t="b">
        <v>1</v>
      </c>
      <c r="I101" s="2" t="s">
        <v>33</v>
      </c>
      <c r="J101" s="6" t="s">
        <v>33</v>
      </c>
      <c r="K101" s="3" t="s">
        <v>704</v>
      </c>
      <c r="L101" s="4" t="s">
        <v>35</v>
      </c>
      <c r="M101" s="4" t="s">
        <v>705</v>
      </c>
      <c r="N101" s="4" t="s">
        <v>706</v>
      </c>
      <c r="O101" s="5" t="s">
        <v>26</v>
      </c>
      <c r="P101" s="5" t="s">
        <v>27</v>
      </c>
    </row>
    <row r="102" spans="1:16" ht="72" customHeight="1" x14ac:dyDescent="0.2">
      <c r="A102" s="2" t="s">
        <v>707</v>
      </c>
      <c r="B102" s="2" t="s">
        <v>708</v>
      </c>
      <c r="C102" s="3" t="s">
        <v>709</v>
      </c>
      <c r="D102" s="2" t="s">
        <v>710</v>
      </c>
      <c r="E102" s="2" t="s">
        <v>711</v>
      </c>
      <c r="F102" s="2" t="b">
        <v>0</v>
      </c>
      <c r="G102" s="2" t="b">
        <v>0</v>
      </c>
      <c r="H102" s="2" t="b">
        <v>1</v>
      </c>
      <c r="I102" s="2" t="s">
        <v>33</v>
      </c>
      <c r="J102" s="6" t="s">
        <v>33</v>
      </c>
      <c r="K102" s="3" t="s">
        <v>712</v>
      </c>
      <c r="L102" s="4" t="s">
        <v>35</v>
      </c>
      <c r="M102" s="4" t="s">
        <v>713</v>
      </c>
      <c r="N102" s="4" t="s">
        <v>714</v>
      </c>
      <c r="O102" s="5" t="s">
        <v>26</v>
      </c>
      <c r="P102" s="5" t="s">
        <v>27</v>
      </c>
    </row>
    <row r="103" spans="1:16" ht="72" customHeight="1" x14ac:dyDescent="0.2">
      <c r="A103" s="2" t="s">
        <v>715</v>
      </c>
      <c r="B103" s="2" t="s">
        <v>716</v>
      </c>
      <c r="C103" s="3" t="s">
        <v>717</v>
      </c>
      <c r="D103" s="2" t="s">
        <v>718</v>
      </c>
      <c r="E103" s="2" t="s">
        <v>129</v>
      </c>
      <c r="F103" s="2" t="b">
        <v>1</v>
      </c>
      <c r="G103" s="2" t="b">
        <v>0</v>
      </c>
      <c r="H103" s="2" t="b">
        <v>0</v>
      </c>
      <c r="I103" s="2" t="s">
        <v>130</v>
      </c>
      <c r="J103" s="6">
        <v>0</v>
      </c>
      <c r="K103" s="3" t="s">
        <v>131</v>
      </c>
      <c r="L103" s="4" t="s">
        <v>138</v>
      </c>
      <c r="M103" s="4" t="s">
        <v>719</v>
      </c>
      <c r="N103" s="4" t="s">
        <v>720</v>
      </c>
      <c r="O103" s="5" t="s">
        <v>26</v>
      </c>
      <c r="P103" s="5" t="s">
        <v>27</v>
      </c>
    </row>
    <row r="104" spans="1:16" ht="72" customHeight="1" x14ac:dyDescent="0.2">
      <c r="A104" s="2" t="s">
        <v>721</v>
      </c>
      <c r="B104" s="2" t="s">
        <v>722</v>
      </c>
      <c r="C104" s="3" t="s">
        <v>723</v>
      </c>
      <c r="D104" s="2" t="s">
        <v>724</v>
      </c>
      <c r="E104" s="2" t="s">
        <v>725</v>
      </c>
      <c r="F104" s="2" t="b">
        <v>1</v>
      </c>
      <c r="G104" s="2" t="b">
        <v>0</v>
      </c>
      <c r="H104" s="2" t="b">
        <v>0</v>
      </c>
      <c r="I104" s="2" t="s">
        <v>33</v>
      </c>
      <c r="J104" s="6" t="s">
        <v>33</v>
      </c>
      <c r="K104" s="3" t="s">
        <v>726</v>
      </c>
      <c r="L104" s="4" t="s">
        <v>75</v>
      </c>
      <c r="M104" s="4" t="s">
        <v>727</v>
      </c>
      <c r="N104" s="4" t="s">
        <v>728</v>
      </c>
      <c r="O104" s="5" t="s">
        <v>26</v>
      </c>
      <c r="P104" s="5" t="s">
        <v>27</v>
      </c>
    </row>
    <row r="105" spans="1:16" ht="72" customHeight="1" x14ac:dyDescent="0.2">
      <c r="A105" s="2" t="s">
        <v>729</v>
      </c>
      <c r="B105" s="2" t="s">
        <v>730</v>
      </c>
      <c r="C105" s="3" t="s">
        <v>731</v>
      </c>
      <c r="D105" s="2" t="s">
        <v>732</v>
      </c>
      <c r="E105" s="2" t="s">
        <v>129</v>
      </c>
      <c r="F105" s="2" t="b">
        <v>0</v>
      </c>
      <c r="G105" s="2" t="b">
        <v>0</v>
      </c>
      <c r="H105" s="2" t="b">
        <v>0</v>
      </c>
      <c r="I105" s="2" t="s">
        <v>130</v>
      </c>
      <c r="J105" s="6">
        <v>0</v>
      </c>
      <c r="K105" s="3" t="s">
        <v>131</v>
      </c>
      <c r="L105" s="4" t="s">
        <v>85</v>
      </c>
      <c r="M105" s="4" t="s">
        <v>733</v>
      </c>
      <c r="N105" s="4" t="s">
        <v>734</v>
      </c>
      <c r="O105" s="5" t="s">
        <v>58</v>
      </c>
      <c r="P105" s="5" t="s">
        <v>59</v>
      </c>
    </row>
    <row r="106" spans="1:16" ht="72" customHeight="1" x14ac:dyDescent="0.2">
      <c r="A106" s="2" t="s">
        <v>735</v>
      </c>
      <c r="B106" s="2" t="s">
        <v>736</v>
      </c>
      <c r="C106" s="3" t="s">
        <v>737</v>
      </c>
      <c r="D106" s="2" t="s">
        <v>738</v>
      </c>
      <c r="E106" s="2" t="s">
        <v>739</v>
      </c>
      <c r="F106" s="2" t="b">
        <v>0</v>
      </c>
      <c r="G106" s="2" t="b">
        <v>1</v>
      </c>
      <c r="H106" s="2" t="b">
        <v>0</v>
      </c>
      <c r="I106" s="2" t="s">
        <v>740</v>
      </c>
      <c r="J106" s="6">
        <v>0.63033819903878074</v>
      </c>
      <c r="K106" s="3" t="s">
        <v>741</v>
      </c>
      <c r="L106" s="4" t="s">
        <v>45</v>
      </c>
      <c r="M106" s="4" t="s">
        <v>742</v>
      </c>
      <c r="N106" s="4" t="s">
        <v>743</v>
      </c>
      <c r="O106" s="5" t="s">
        <v>26</v>
      </c>
      <c r="P106" s="5" t="s">
        <v>27</v>
      </c>
    </row>
    <row r="107" spans="1:16" ht="72" customHeight="1" x14ac:dyDescent="0.2">
      <c r="A107" s="2" t="s">
        <v>744</v>
      </c>
      <c r="B107" s="2" t="s">
        <v>745</v>
      </c>
      <c r="C107" s="3" t="s">
        <v>746</v>
      </c>
      <c r="D107" s="2" t="s">
        <v>342</v>
      </c>
      <c r="E107" s="2" t="s">
        <v>747</v>
      </c>
      <c r="F107" s="2" t="b">
        <v>1</v>
      </c>
      <c r="G107" s="2" t="b">
        <v>1</v>
      </c>
      <c r="H107" s="2" t="b">
        <v>0</v>
      </c>
      <c r="I107" s="2" t="s">
        <v>748</v>
      </c>
      <c r="J107" s="6">
        <v>0.8831455210392406</v>
      </c>
      <c r="K107" s="3" t="s">
        <v>749</v>
      </c>
      <c r="L107" s="4" t="s">
        <v>45</v>
      </c>
      <c r="M107" s="4" t="s">
        <v>750</v>
      </c>
      <c r="N107" s="4" t="s">
        <v>751</v>
      </c>
      <c r="O107" s="5" t="s">
        <v>26</v>
      </c>
      <c r="P107" s="5" t="s">
        <v>27</v>
      </c>
    </row>
    <row r="108" spans="1:16" ht="72" customHeight="1" x14ac:dyDescent="0.2">
      <c r="A108" s="2" t="s">
        <v>752</v>
      </c>
      <c r="B108" s="2" t="s">
        <v>753</v>
      </c>
      <c r="C108" s="3" t="s">
        <v>754</v>
      </c>
      <c r="D108" s="2" t="s">
        <v>755</v>
      </c>
      <c r="E108" s="2" t="s">
        <v>756</v>
      </c>
      <c r="F108" s="2" t="b">
        <v>1</v>
      </c>
      <c r="G108" s="2" t="b">
        <v>1</v>
      </c>
      <c r="H108" s="2" t="b">
        <v>0</v>
      </c>
      <c r="I108" s="2" t="s">
        <v>757</v>
      </c>
      <c r="J108" s="6">
        <v>0.78473550534828806</v>
      </c>
      <c r="K108" s="3" t="s">
        <v>758</v>
      </c>
      <c r="L108" s="4" t="s">
        <v>45</v>
      </c>
      <c r="M108" s="4" t="s">
        <v>759</v>
      </c>
      <c r="N108" s="4" t="s">
        <v>760</v>
      </c>
      <c r="O108" s="5" t="s">
        <v>26</v>
      </c>
      <c r="P108" s="5" t="s">
        <v>27</v>
      </c>
    </row>
    <row r="109" spans="1:16" ht="72" customHeight="1" x14ac:dyDescent="0.2">
      <c r="A109" s="2" t="s">
        <v>761</v>
      </c>
      <c r="B109" s="2" t="s">
        <v>762</v>
      </c>
      <c r="C109" s="3" t="s">
        <v>763</v>
      </c>
      <c r="D109" s="2" t="s">
        <v>764</v>
      </c>
      <c r="E109" s="2" t="s">
        <v>765</v>
      </c>
      <c r="F109" s="2" t="b">
        <v>1</v>
      </c>
      <c r="G109" s="2" t="b">
        <v>0</v>
      </c>
      <c r="H109" s="2" t="b">
        <v>0</v>
      </c>
      <c r="I109" s="2" t="s">
        <v>33</v>
      </c>
      <c r="J109" s="6" t="s">
        <v>33</v>
      </c>
      <c r="K109" s="3" t="s">
        <v>766</v>
      </c>
      <c r="L109" s="4" t="s">
        <v>75</v>
      </c>
      <c r="M109" s="4" t="s">
        <v>767</v>
      </c>
      <c r="N109" s="4" t="s">
        <v>768</v>
      </c>
      <c r="O109" s="5" t="s">
        <v>26</v>
      </c>
      <c r="P109" s="5" t="s">
        <v>27</v>
      </c>
    </row>
    <row r="110" spans="1:16" ht="72" customHeight="1" x14ac:dyDescent="0.2">
      <c r="A110" s="2" t="s">
        <v>769</v>
      </c>
      <c r="B110" s="2" t="s">
        <v>770</v>
      </c>
      <c r="C110" s="3" t="s">
        <v>771</v>
      </c>
      <c r="D110" s="2" t="s">
        <v>772</v>
      </c>
      <c r="E110" s="2" t="s">
        <v>129</v>
      </c>
      <c r="F110" s="2" t="b">
        <v>1</v>
      </c>
      <c r="G110" s="2" t="b">
        <v>0</v>
      </c>
      <c r="H110" s="2" t="b">
        <v>0</v>
      </c>
      <c r="I110" s="2" t="s">
        <v>130</v>
      </c>
      <c r="J110" s="6">
        <v>0</v>
      </c>
      <c r="K110" s="3" t="s">
        <v>131</v>
      </c>
      <c r="L110" s="4" t="s">
        <v>138</v>
      </c>
      <c r="M110" s="4" t="s">
        <v>773</v>
      </c>
      <c r="N110" s="4" t="s">
        <v>774</v>
      </c>
      <c r="O110" s="5" t="s">
        <v>26</v>
      </c>
      <c r="P110" s="5" t="s">
        <v>27</v>
      </c>
    </row>
    <row r="111" spans="1:16" ht="72" customHeight="1" x14ac:dyDescent="0.2">
      <c r="A111" s="2" t="s">
        <v>775</v>
      </c>
      <c r="B111" s="2" t="s">
        <v>349</v>
      </c>
      <c r="C111" s="3" t="s">
        <v>350</v>
      </c>
      <c r="D111" s="2" t="s">
        <v>351</v>
      </c>
      <c r="E111" s="2" t="s">
        <v>776</v>
      </c>
      <c r="F111" s="2" t="b">
        <v>0</v>
      </c>
      <c r="G111" s="2" t="b">
        <v>1</v>
      </c>
      <c r="H111" s="2" t="b">
        <v>0</v>
      </c>
      <c r="I111" s="2" t="s">
        <v>777</v>
      </c>
      <c r="J111" s="6">
        <v>0.88396354452874915</v>
      </c>
      <c r="K111" s="3" t="s">
        <v>778</v>
      </c>
      <c r="L111" s="4" t="s">
        <v>45</v>
      </c>
      <c r="M111" s="4" t="s">
        <v>779</v>
      </c>
      <c r="N111" s="4" t="s">
        <v>780</v>
      </c>
      <c r="O111" s="5" t="s">
        <v>26</v>
      </c>
      <c r="P111" s="5" t="s">
        <v>27</v>
      </c>
    </row>
    <row r="112" spans="1:16" ht="72" customHeight="1" x14ac:dyDescent="0.2">
      <c r="A112" s="2" t="s">
        <v>781</v>
      </c>
      <c r="B112" s="2" t="s">
        <v>782</v>
      </c>
      <c r="C112" s="3" t="s">
        <v>783</v>
      </c>
      <c r="D112" s="2" t="s">
        <v>784</v>
      </c>
      <c r="E112" s="2" t="s">
        <v>785</v>
      </c>
      <c r="F112" s="2" t="b">
        <v>0</v>
      </c>
      <c r="G112" s="2" t="b">
        <v>1</v>
      </c>
      <c r="H112" s="2" t="b">
        <v>0</v>
      </c>
      <c r="I112" s="2" t="s">
        <v>786</v>
      </c>
      <c r="J112" s="6">
        <v>0.67391304289123932</v>
      </c>
      <c r="K112" s="3" t="s">
        <v>787</v>
      </c>
      <c r="L112" s="4" t="s">
        <v>85</v>
      </c>
      <c r="M112" s="4" t="s">
        <v>788</v>
      </c>
      <c r="N112" s="4" t="s">
        <v>789</v>
      </c>
      <c r="O112" s="5" t="s">
        <v>58</v>
      </c>
      <c r="P112" s="5" t="s">
        <v>59</v>
      </c>
    </row>
    <row r="113" spans="1:16" ht="72" customHeight="1" x14ac:dyDescent="0.2">
      <c r="A113" s="2" t="s">
        <v>790</v>
      </c>
      <c r="B113" s="2" t="s">
        <v>791</v>
      </c>
      <c r="C113" s="3" t="s">
        <v>792</v>
      </c>
      <c r="D113" s="2" t="s">
        <v>793</v>
      </c>
      <c r="E113" s="2" t="s">
        <v>160</v>
      </c>
      <c r="F113" s="2" t="b">
        <v>1</v>
      </c>
      <c r="G113" s="2" t="b">
        <v>1</v>
      </c>
      <c r="H113" s="2" t="b">
        <v>0</v>
      </c>
      <c r="I113" s="2" t="s">
        <v>794</v>
      </c>
      <c r="J113" s="6">
        <v>0.46077970602356599</v>
      </c>
      <c r="K113" s="3" t="s">
        <v>795</v>
      </c>
      <c r="L113" s="4" t="s">
        <v>45</v>
      </c>
      <c r="M113" s="4" t="s">
        <v>796</v>
      </c>
      <c r="N113" s="4" t="s">
        <v>797</v>
      </c>
      <c r="O113" s="5" t="s">
        <v>26</v>
      </c>
      <c r="P113" s="5" t="s">
        <v>27</v>
      </c>
    </row>
    <row r="114" spans="1:16" ht="72" customHeight="1" x14ac:dyDescent="0.2">
      <c r="A114" s="2" t="s">
        <v>798</v>
      </c>
      <c r="B114" s="2" t="s">
        <v>799</v>
      </c>
      <c r="C114" s="3" t="s">
        <v>800</v>
      </c>
      <c r="D114" s="2" t="s">
        <v>801</v>
      </c>
      <c r="E114" s="2" t="s">
        <v>233</v>
      </c>
      <c r="F114" s="2" t="b">
        <v>1</v>
      </c>
      <c r="G114" s="2" t="b">
        <v>0</v>
      </c>
      <c r="H114" s="2" t="b">
        <v>0</v>
      </c>
      <c r="I114" s="2" t="s">
        <v>33</v>
      </c>
      <c r="J114" s="6" t="s">
        <v>33</v>
      </c>
      <c r="K114" s="3" t="s">
        <v>234</v>
      </c>
      <c r="L114" s="4" t="s">
        <v>75</v>
      </c>
      <c r="M114" s="4" t="s">
        <v>802</v>
      </c>
      <c r="N114" s="4" t="s">
        <v>236</v>
      </c>
      <c r="O114" s="5" t="s">
        <v>26</v>
      </c>
      <c r="P114" s="5" t="s">
        <v>27</v>
      </c>
    </row>
    <row r="115" spans="1:16" ht="72" customHeight="1" x14ac:dyDescent="0.2">
      <c r="A115" s="2" t="s">
        <v>803</v>
      </c>
      <c r="B115" s="2" t="s">
        <v>135</v>
      </c>
      <c r="C115" s="3" t="s">
        <v>136</v>
      </c>
      <c r="D115" s="2" t="s">
        <v>137</v>
      </c>
      <c r="E115" s="2" t="s">
        <v>129</v>
      </c>
      <c r="F115" s="2" t="b">
        <v>1</v>
      </c>
      <c r="G115" s="2" t="b">
        <v>0</v>
      </c>
      <c r="H115" s="2" t="b">
        <v>0</v>
      </c>
      <c r="I115" s="2" t="s">
        <v>130</v>
      </c>
      <c r="J115" s="6">
        <v>0</v>
      </c>
      <c r="K115" s="3" t="s">
        <v>131</v>
      </c>
      <c r="L115" s="4" t="s">
        <v>138</v>
      </c>
      <c r="M115" s="4" t="s">
        <v>139</v>
      </c>
      <c r="N115" s="4" t="s">
        <v>140</v>
      </c>
      <c r="O115" s="5" t="s">
        <v>26</v>
      </c>
      <c r="P115" s="5" t="s">
        <v>27</v>
      </c>
    </row>
    <row r="116" spans="1:16" ht="72" customHeight="1" x14ac:dyDescent="0.2">
      <c r="A116" s="2" t="s">
        <v>804</v>
      </c>
      <c r="B116" s="2" t="s">
        <v>805</v>
      </c>
      <c r="C116" s="3" t="s">
        <v>806</v>
      </c>
      <c r="D116" s="2" t="s">
        <v>807</v>
      </c>
      <c r="E116" s="2" t="s">
        <v>808</v>
      </c>
      <c r="F116" s="2" t="b">
        <v>0</v>
      </c>
      <c r="G116" s="2" t="b">
        <v>1</v>
      </c>
      <c r="H116" s="2" t="b">
        <v>0</v>
      </c>
      <c r="I116" s="2" t="s">
        <v>809</v>
      </c>
      <c r="J116" s="6">
        <v>0.65559304454956102</v>
      </c>
      <c r="K116" s="3" t="s">
        <v>810</v>
      </c>
      <c r="L116" s="4" t="s">
        <v>55</v>
      </c>
      <c r="M116" s="4" t="s">
        <v>811</v>
      </c>
      <c r="N116" s="4" t="s">
        <v>812</v>
      </c>
      <c r="O116" s="5" t="s">
        <v>58</v>
      </c>
      <c r="P116" s="5" t="s">
        <v>59</v>
      </c>
    </row>
    <row r="117" spans="1:16" ht="72" customHeight="1" x14ac:dyDescent="0.2">
      <c r="A117" s="2" t="s">
        <v>813</v>
      </c>
      <c r="B117" s="2" t="s">
        <v>814</v>
      </c>
      <c r="C117" s="3" t="s">
        <v>815</v>
      </c>
      <c r="D117" s="2" t="s">
        <v>816</v>
      </c>
      <c r="E117" s="2" t="s">
        <v>817</v>
      </c>
      <c r="F117" s="2" t="b">
        <v>1</v>
      </c>
      <c r="G117" s="2" t="b">
        <v>1</v>
      </c>
      <c r="H117" s="2" t="b">
        <v>0</v>
      </c>
      <c r="I117" s="2" t="s">
        <v>818</v>
      </c>
      <c r="J117" s="6">
        <v>0.67396892959809851</v>
      </c>
      <c r="K117" s="3" t="s">
        <v>819</v>
      </c>
      <c r="L117" s="4" t="s">
        <v>532</v>
      </c>
      <c r="M117" s="4" t="s">
        <v>820</v>
      </c>
      <c r="N117" s="4" t="s">
        <v>821</v>
      </c>
      <c r="O117" s="5" t="s">
        <v>26</v>
      </c>
      <c r="P117" s="5" t="s">
        <v>27</v>
      </c>
    </row>
    <row r="118" spans="1:16" ht="72" customHeight="1" x14ac:dyDescent="0.2">
      <c r="A118" s="2" t="s">
        <v>822</v>
      </c>
      <c r="B118" s="2" t="s">
        <v>823</v>
      </c>
      <c r="C118" s="3" t="s">
        <v>824</v>
      </c>
      <c r="D118" s="2" t="s">
        <v>825</v>
      </c>
      <c r="E118" s="2" t="s">
        <v>826</v>
      </c>
      <c r="F118" s="2" t="b">
        <v>0</v>
      </c>
      <c r="G118" s="2" t="b">
        <v>1</v>
      </c>
      <c r="H118" s="2" t="b">
        <v>0</v>
      </c>
      <c r="I118" s="2" t="s">
        <v>827</v>
      </c>
      <c r="J118" s="6">
        <v>0.74521658917749301</v>
      </c>
      <c r="K118" s="3" t="s">
        <v>828</v>
      </c>
      <c r="L118" s="4" t="s">
        <v>85</v>
      </c>
      <c r="M118" s="4" t="s">
        <v>829</v>
      </c>
      <c r="N118" s="4" t="s">
        <v>830</v>
      </c>
      <c r="O118" s="5" t="s">
        <v>58</v>
      </c>
      <c r="P118" s="5" t="s">
        <v>59</v>
      </c>
    </row>
    <row r="119" spans="1:16" ht="72" customHeight="1" x14ac:dyDescent="0.2">
      <c r="A119" s="2" t="s">
        <v>831</v>
      </c>
      <c r="B119" s="2" t="s">
        <v>832</v>
      </c>
      <c r="C119" s="3" t="s">
        <v>833</v>
      </c>
      <c r="D119" s="2" t="s">
        <v>361</v>
      </c>
      <c r="E119" s="2" t="s">
        <v>834</v>
      </c>
      <c r="F119" s="2" t="b">
        <v>1</v>
      </c>
      <c r="G119" s="2" t="b">
        <v>1</v>
      </c>
      <c r="H119" s="2" t="b">
        <v>0</v>
      </c>
      <c r="I119" s="2" t="s">
        <v>835</v>
      </c>
      <c r="J119" s="6">
        <v>0.91386839762038263</v>
      </c>
      <c r="K119" s="3" t="s">
        <v>836</v>
      </c>
      <c r="L119" s="4" t="s">
        <v>23</v>
      </c>
      <c r="M119" s="4" t="s">
        <v>837</v>
      </c>
      <c r="N119" s="4" t="s">
        <v>838</v>
      </c>
      <c r="O119" s="5" t="s">
        <v>26</v>
      </c>
      <c r="P119" s="5" t="s">
        <v>27</v>
      </c>
    </row>
    <row r="120" spans="1:16" ht="72" customHeight="1" x14ac:dyDescent="0.2">
      <c r="A120" s="2" t="s">
        <v>839</v>
      </c>
      <c r="B120" s="2" t="s">
        <v>840</v>
      </c>
      <c r="C120" s="3" t="s">
        <v>841</v>
      </c>
      <c r="D120" s="2" t="s">
        <v>842</v>
      </c>
      <c r="E120" s="2" t="s">
        <v>160</v>
      </c>
      <c r="F120" s="2" t="b">
        <v>0</v>
      </c>
      <c r="G120" s="2" t="b">
        <v>1</v>
      </c>
      <c r="H120" s="2" t="b">
        <v>0</v>
      </c>
      <c r="I120" s="2" t="s">
        <v>843</v>
      </c>
      <c r="J120" s="6">
        <v>0.18902417024227261</v>
      </c>
      <c r="K120" s="3" t="s">
        <v>844</v>
      </c>
      <c r="L120" s="4" t="s">
        <v>94</v>
      </c>
      <c r="M120" s="4" t="s">
        <v>845</v>
      </c>
      <c r="N120" s="4" t="s">
        <v>846</v>
      </c>
      <c r="O120" s="5" t="s">
        <v>58</v>
      </c>
      <c r="P120" s="5" t="s">
        <v>59</v>
      </c>
    </row>
    <row r="121" spans="1:16" ht="72" customHeight="1" x14ac:dyDescent="0.2">
      <c r="A121" s="2" t="s">
        <v>847</v>
      </c>
      <c r="B121" s="2" t="s">
        <v>848</v>
      </c>
      <c r="C121" s="3" t="s">
        <v>849</v>
      </c>
      <c r="D121" s="2" t="s">
        <v>850</v>
      </c>
      <c r="E121" s="2" t="s">
        <v>851</v>
      </c>
      <c r="F121" s="2" t="b">
        <v>1</v>
      </c>
      <c r="G121" s="2" t="b">
        <v>1</v>
      </c>
      <c r="H121" s="2" t="b">
        <v>0</v>
      </c>
      <c r="I121" s="2" t="s">
        <v>852</v>
      </c>
      <c r="J121" s="6">
        <v>0.66976019001896281</v>
      </c>
      <c r="K121" s="3" t="s">
        <v>853</v>
      </c>
      <c r="L121" s="4" t="s">
        <v>23</v>
      </c>
      <c r="M121" s="4" t="s">
        <v>854</v>
      </c>
      <c r="N121" s="4" t="s">
        <v>855</v>
      </c>
      <c r="O121" s="5" t="s">
        <v>26</v>
      </c>
      <c r="P121" s="5" t="s">
        <v>27</v>
      </c>
    </row>
  </sheetData>
  <conditionalFormatting sqref="O2:O121">
    <cfRule type="expression" dxfId="4" priority="1">
      <formula>O2="High"</formula>
    </cfRule>
    <cfRule type="expression" dxfId="3" priority="2">
      <formula>O2="Medium"</formula>
    </cfRule>
    <cfRule type="expression" dxfId="2" priority="3">
      <formula>O2="Low"</formula>
    </cfRule>
  </conditionalFormatting>
  <conditionalFormatting sqref="P2:P121">
    <cfRule type="expression" dxfId="1" priority="4">
      <formula>P2="Required"</formula>
    </cfRule>
    <cfRule type="expression" dxfId="0" priority="5">
      <formula>P2="Resolved"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/>
  </sheetViews>
  <sheetFormatPr baseColWidth="10" defaultColWidth="8.83203125" defaultRowHeight="15" x14ac:dyDescent="0.2"/>
  <cols>
    <col min="1" max="1" width="34" customWidth="1"/>
    <col min="2" max="3" width="14" customWidth="1"/>
    <col min="4" max="4" width="4" customWidth="1"/>
    <col min="5" max="5" width="24" customWidth="1"/>
    <col min="6" max="6" width="14" customWidth="1"/>
  </cols>
  <sheetData>
    <row r="1" spans="1:6" ht="37.25" customHeight="1" x14ac:dyDescent="0.2">
      <c r="A1" s="17" t="s">
        <v>856</v>
      </c>
      <c r="B1" s="17"/>
      <c r="C1" s="17"/>
      <c r="D1" s="17"/>
      <c r="E1" s="17"/>
      <c r="F1" s="17"/>
    </row>
    <row r="3" spans="1:6" x14ac:dyDescent="0.2">
      <c r="A3" s="7" t="s">
        <v>857</v>
      </c>
      <c r="B3" s="8" t="s">
        <v>858</v>
      </c>
    </row>
    <row r="4" spans="1:6" x14ac:dyDescent="0.2">
      <c r="A4" s="9" t="s">
        <v>859</v>
      </c>
      <c r="B4" s="10">
        <v>120</v>
      </c>
    </row>
    <row r="5" spans="1:6" x14ac:dyDescent="0.2">
      <c r="A5" s="9" t="s">
        <v>860</v>
      </c>
      <c r="B5" s="10">
        <v>101</v>
      </c>
    </row>
    <row r="6" spans="1:6" x14ac:dyDescent="0.2">
      <c r="A6" s="9" t="s">
        <v>861</v>
      </c>
      <c r="B6" s="10">
        <v>40</v>
      </c>
    </row>
    <row r="7" spans="1:6" x14ac:dyDescent="0.2">
      <c r="A7" s="11" t="s">
        <v>862</v>
      </c>
      <c r="B7" s="12">
        <v>3</v>
      </c>
    </row>
    <row r="10" spans="1:6" x14ac:dyDescent="0.2">
      <c r="A10" s="14" t="s">
        <v>863</v>
      </c>
      <c r="B10" s="14" t="s">
        <v>864</v>
      </c>
      <c r="C10" s="14" t="s">
        <v>865</v>
      </c>
      <c r="E10" s="13" t="s">
        <v>866</v>
      </c>
      <c r="F10" s="13" t="s">
        <v>864</v>
      </c>
    </row>
    <row r="11" spans="1:6" x14ac:dyDescent="0.2">
      <c r="A11" t="s">
        <v>85</v>
      </c>
      <c r="B11">
        <v>26</v>
      </c>
      <c r="C11" s="15">
        <v>0.21666666666666667</v>
      </c>
      <c r="E11" t="s">
        <v>26</v>
      </c>
      <c r="F11">
        <v>77</v>
      </c>
    </row>
    <row r="12" spans="1:6" x14ac:dyDescent="0.2">
      <c r="A12" t="s">
        <v>45</v>
      </c>
      <c r="B12">
        <v>25</v>
      </c>
      <c r="C12" s="15">
        <v>0.20833333333333334</v>
      </c>
      <c r="E12" t="s">
        <v>58</v>
      </c>
      <c r="F12">
        <v>40</v>
      </c>
    </row>
    <row r="13" spans="1:6" x14ac:dyDescent="0.2">
      <c r="A13" t="s">
        <v>138</v>
      </c>
      <c r="B13">
        <v>16</v>
      </c>
      <c r="C13" s="15">
        <v>0.13333333333333333</v>
      </c>
      <c r="E13" t="s">
        <v>198</v>
      </c>
      <c r="F13">
        <v>3</v>
      </c>
    </row>
    <row r="14" spans="1:6" x14ac:dyDescent="0.2">
      <c r="A14" t="s">
        <v>75</v>
      </c>
      <c r="B14">
        <v>14</v>
      </c>
      <c r="C14" s="15">
        <v>0.11666666666666667</v>
      </c>
    </row>
    <row r="15" spans="1:6" x14ac:dyDescent="0.2">
      <c r="A15" t="s">
        <v>35</v>
      </c>
      <c r="B15">
        <v>8</v>
      </c>
      <c r="C15" s="15">
        <v>6.6666666666666666E-2</v>
      </c>
    </row>
    <row r="16" spans="1:6" x14ac:dyDescent="0.2">
      <c r="A16" t="s">
        <v>94</v>
      </c>
      <c r="B16">
        <v>7</v>
      </c>
      <c r="C16" s="15">
        <v>5.8333333333333334E-2</v>
      </c>
      <c r="E16" s="13" t="s">
        <v>867</v>
      </c>
      <c r="F16" s="13" t="s">
        <v>864</v>
      </c>
    </row>
    <row r="17" spans="1:6" x14ac:dyDescent="0.2">
      <c r="A17" t="s">
        <v>23</v>
      </c>
      <c r="B17">
        <v>6</v>
      </c>
      <c r="C17" s="15">
        <v>0.05</v>
      </c>
      <c r="E17" t="s">
        <v>59</v>
      </c>
      <c r="F17">
        <v>40</v>
      </c>
    </row>
    <row r="18" spans="1:6" x14ac:dyDescent="0.2">
      <c r="A18" t="s">
        <v>55</v>
      </c>
      <c r="B18">
        <v>5</v>
      </c>
      <c r="C18" s="15">
        <v>4.1666666666666664E-2</v>
      </c>
      <c r="E18" t="s">
        <v>199</v>
      </c>
      <c r="F18">
        <v>3</v>
      </c>
    </row>
    <row r="19" spans="1:6" x14ac:dyDescent="0.2">
      <c r="A19" t="s">
        <v>195</v>
      </c>
      <c r="B19">
        <v>3</v>
      </c>
      <c r="C19" s="15">
        <v>2.5000000000000001E-2</v>
      </c>
      <c r="E19" t="s">
        <v>27</v>
      </c>
      <c r="F19">
        <v>77</v>
      </c>
    </row>
    <row r="20" spans="1:6" x14ac:dyDescent="0.2">
      <c r="A20" t="s">
        <v>226</v>
      </c>
      <c r="B20">
        <v>3</v>
      </c>
      <c r="C20" s="15">
        <v>2.5000000000000001E-2</v>
      </c>
    </row>
    <row r="21" spans="1:6" x14ac:dyDescent="0.2">
      <c r="A21" t="s">
        <v>532</v>
      </c>
      <c r="B21">
        <v>3</v>
      </c>
      <c r="C21" s="15">
        <v>2.5000000000000001E-2</v>
      </c>
    </row>
    <row r="22" spans="1:6" x14ac:dyDescent="0.2">
      <c r="A22" t="s">
        <v>370</v>
      </c>
      <c r="B22">
        <v>2</v>
      </c>
      <c r="C22" s="15">
        <v>1.6666666666666666E-2</v>
      </c>
    </row>
    <row r="23" spans="1:6" ht="32" customHeight="1" x14ac:dyDescent="0.2">
      <c r="A23" s="18" t="s">
        <v>868</v>
      </c>
      <c r="B23" s="18">
        <v>1</v>
      </c>
      <c r="C23" s="19">
        <v>8.3333333333333332E-3</v>
      </c>
      <c r="D23" s="18"/>
      <c r="E23" s="18"/>
      <c r="F23" s="18"/>
    </row>
    <row r="24" spans="1:6" ht="32" customHeight="1" x14ac:dyDescent="0.2">
      <c r="A24" s="18" t="s">
        <v>122</v>
      </c>
      <c r="B24" s="18">
        <v>1</v>
      </c>
      <c r="C24" s="19">
        <v>8.3333333333333332E-3</v>
      </c>
      <c r="D24" s="18"/>
      <c r="E24" s="18"/>
      <c r="F24" s="18"/>
    </row>
    <row r="25" spans="1:6" ht="32" customHeight="1" x14ac:dyDescent="0.2">
      <c r="A25" s="18"/>
      <c r="B25" s="18"/>
      <c r="C25" s="18"/>
      <c r="D25" s="18"/>
      <c r="E25" s="18"/>
      <c r="F25" s="18"/>
    </row>
  </sheetData>
  <mergeCells count="2">
    <mergeCell ref="A1:F1"/>
    <mergeCell ref="A23:F2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workbookViewId="0"/>
  </sheetViews>
  <sheetFormatPr baseColWidth="10" defaultColWidth="8.83203125" defaultRowHeight="15" x14ac:dyDescent="0.2"/>
  <cols>
    <col min="1" max="1" width="16" customWidth="1"/>
    <col min="2" max="2" width="27" customWidth="1"/>
    <col min="3" max="3" width="48" customWidth="1"/>
    <col min="4" max="5" width="16" customWidth="1"/>
    <col min="6" max="6" width="22" customWidth="1"/>
    <col min="7" max="7" width="52" customWidth="1"/>
    <col min="8" max="8" width="55" customWidth="1"/>
  </cols>
  <sheetData>
    <row r="1" spans="1:8" ht="16" x14ac:dyDescent="0.2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11</v>
      </c>
      <c r="G1" s="16" t="s">
        <v>12</v>
      </c>
      <c r="H1" s="16" t="s">
        <v>13</v>
      </c>
    </row>
    <row r="2" spans="1:8" ht="80" customHeight="1" x14ac:dyDescent="0.2">
      <c r="A2" s="3" t="s">
        <v>188</v>
      </c>
      <c r="B2" s="3" t="s">
        <v>189</v>
      </c>
      <c r="C2" s="3" t="s">
        <v>190</v>
      </c>
      <c r="D2" s="3" t="s">
        <v>191</v>
      </c>
      <c r="E2" s="3" t="s">
        <v>192</v>
      </c>
      <c r="F2" s="3" t="s">
        <v>195</v>
      </c>
      <c r="G2" s="3" t="s">
        <v>196</v>
      </c>
      <c r="H2" s="3" t="s">
        <v>197</v>
      </c>
    </row>
    <row r="3" spans="1:8" ht="80" customHeight="1" x14ac:dyDescent="0.2">
      <c r="A3" s="3" t="s">
        <v>209</v>
      </c>
      <c r="B3" s="3" t="s">
        <v>210</v>
      </c>
      <c r="C3" s="3" t="s">
        <v>211</v>
      </c>
      <c r="D3" s="3" t="s">
        <v>212</v>
      </c>
      <c r="E3" s="3" t="s">
        <v>129</v>
      </c>
      <c r="F3" s="3" t="s">
        <v>195</v>
      </c>
      <c r="G3" s="3" t="s">
        <v>213</v>
      </c>
      <c r="H3" s="3" t="s">
        <v>197</v>
      </c>
    </row>
    <row r="4" spans="1:8" ht="80" customHeight="1" x14ac:dyDescent="0.2">
      <c r="A4" s="3" t="s">
        <v>518</v>
      </c>
      <c r="B4" s="3" t="s">
        <v>519</v>
      </c>
      <c r="C4" s="3" t="s">
        <v>520</v>
      </c>
      <c r="D4" s="3" t="s">
        <v>521</v>
      </c>
      <c r="E4" s="3" t="s">
        <v>522</v>
      </c>
      <c r="F4" s="3" t="s">
        <v>195</v>
      </c>
      <c r="G4" s="3" t="s">
        <v>525</v>
      </c>
      <c r="H4" s="3" t="s">
        <v>197</v>
      </c>
    </row>
    <row r="5" spans="1:8" ht="80" customHeight="1" x14ac:dyDescent="0.2">
      <c r="A5" s="3"/>
      <c r="B5" s="3"/>
      <c r="C5" s="3"/>
      <c r="D5" s="3"/>
      <c r="E5" s="3"/>
      <c r="F5" s="3"/>
      <c r="G5" s="3"/>
      <c r="H5" s="3"/>
    </row>
    <row r="6" spans="1:8" ht="80" customHeight="1" x14ac:dyDescent="0.2">
      <c r="A6" s="3"/>
      <c r="B6" s="3"/>
      <c r="C6" s="3"/>
      <c r="D6" s="3"/>
      <c r="E6" s="3"/>
      <c r="F6" s="3"/>
      <c r="G6" s="3"/>
      <c r="H6" s="3"/>
    </row>
    <row r="7" spans="1:8" ht="80" customHeight="1" x14ac:dyDescent="0.2">
      <c r="A7" s="3"/>
      <c r="B7" s="3"/>
      <c r="C7" s="3"/>
      <c r="D7" s="3"/>
      <c r="E7" s="3"/>
      <c r="F7" s="3"/>
      <c r="G7" s="3"/>
      <c r="H7" s="3"/>
    </row>
    <row r="8" spans="1:8" ht="80" customHeight="1" x14ac:dyDescent="0.2">
      <c r="A8" s="3"/>
      <c r="B8" s="3"/>
      <c r="C8" s="3"/>
      <c r="D8" s="3"/>
      <c r="E8" s="3"/>
      <c r="F8" s="3"/>
      <c r="G8" s="3"/>
      <c r="H8" s="3"/>
    </row>
    <row r="9" spans="1:8" ht="80" customHeight="1" x14ac:dyDescent="0.2">
      <c r="A9" s="3"/>
      <c r="B9" s="3"/>
      <c r="C9" s="3"/>
      <c r="D9" s="3"/>
      <c r="E9" s="3"/>
      <c r="F9" s="3"/>
      <c r="G9" s="3"/>
      <c r="H9" s="3"/>
    </row>
    <row r="10" spans="1:8" ht="80" customHeight="1" x14ac:dyDescent="0.2">
      <c r="A10" s="3"/>
      <c r="B10" s="3"/>
      <c r="C10" s="3"/>
      <c r="D10" s="3"/>
      <c r="E10" s="3"/>
      <c r="F10" s="3"/>
      <c r="G10" s="3"/>
      <c r="H10" s="3"/>
    </row>
    <row r="11" spans="1:8" ht="80" customHeight="1" x14ac:dyDescent="0.2">
      <c r="A11" s="3"/>
      <c r="B11" s="3"/>
      <c r="C11" s="3"/>
      <c r="D11" s="3"/>
      <c r="E11" s="3"/>
      <c r="F11" s="3"/>
      <c r="G11" s="3"/>
      <c r="H11" s="3"/>
    </row>
    <row r="12" spans="1:8" ht="80" customHeight="1" x14ac:dyDescent="0.2">
      <c r="A12" s="3"/>
      <c r="B12" s="3"/>
      <c r="C12" s="3"/>
      <c r="D12" s="3"/>
      <c r="E12" s="3"/>
      <c r="F12" s="3"/>
      <c r="G12" s="3"/>
      <c r="H12" s="3"/>
    </row>
    <row r="13" spans="1:8" ht="80" customHeight="1" x14ac:dyDescent="0.2">
      <c r="A13" s="3"/>
      <c r="B13" s="3"/>
      <c r="C13" s="3"/>
      <c r="D13" s="3"/>
      <c r="E13" s="3"/>
      <c r="F13" s="3"/>
      <c r="G13" s="3"/>
      <c r="H13" s="3"/>
    </row>
    <row r="14" spans="1:8" ht="80" customHeight="1" x14ac:dyDescent="0.2">
      <c r="A14" s="3"/>
      <c r="B14" s="3"/>
      <c r="C14" s="3"/>
      <c r="D14" s="3"/>
      <c r="E14" s="3"/>
      <c r="F14" s="3"/>
      <c r="G14" s="3"/>
      <c r="H14" s="3"/>
    </row>
    <row r="15" spans="1:8" ht="80" customHeight="1" x14ac:dyDescent="0.2">
      <c r="A15" s="3"/>
      <c r="B15" s="3"/>
      <c r="C15" s="3"/>
      <c r="D15" s="3"/>
      <c r="E15" s="3"/>
      <c r="F15" s="3"/>
      <c r="G15" s="3"/>
      <c r="H15" s="3"/>
    </row>
    <row r="16" spans="1:8" ht="80" customHeight="1" x14ac:dyDescent="0.2">
      <c r="A16" s="3"/>
      <c r="B16" s="3"/>
      <c r="C16" s="3"/>
      <c r="D16" s="3"/>
      <c r="E16" s="3"/>
      <c r="F16" s="3"/>
      <c r="G16" s="3"/>
      <c r="H16" s="3"/>
    </row>
    <row r="17" spans="1:8" ht="80" customHeight="1" x14ac:dyDescent="0.2">
      <c r="A17" s="3"/>
      <c r="B17" s="3"/>
      <c r="C17" s="3"/>
      <c r="D17" s="3"/>
      <c r="E17" s="3"/>
      <c r="F17" s="3"/>
      <c r="G17" s="3"/>
      <c r="H17" s="3"/>
    </row>
    <row r="18" spans="1:8" ht="80" customHeight="1" x14ac:dyDescent="0.2">
      <c r="A18" s="3"/>
      <c r="B18" s="3"/>
      <c r="C18" s="3"/>
      <c r="D18" s="3"/>
      <c r="E18" s="3"/>
      <c r="F18" s="3"/>
      <c r="G18" s="3"/>
      <c r="H18" s="3"/>
    </row>
    <row r="19" spans="1:8" ht="80" customHeight="1" x14ac:dyDescent="0.2">
      <c r="A19" s="3"/>
      <c r="B19" s="3"/>
      <c r="C19" s="3"/>
      <c r="D19" s="3"/>
      <c r="E19" s="3"/>
      <c r="F19" s="3"/>
      <c r="G19" s="3"/>
      <c r="H19" s="3"/>
    </row>
    <row r="20" spans="1:8" ht="80" customHeight="1" x14ac:dyDescent="0.2">
      <c r="A20" s="3"/>
      <c r="B20" s="3"/>
      <c r="C20" s="3"/>
      <c r="D20" s="3"/>
      <c r="E20" s="3"/>
      <c r="F20" s="3"/>
      <c r="G20" s="3"/>
      <c r="H2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Review Summary</vt:lpstr>
      <vt:lpstr>Final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Prasanth Balisetty</dc:creator>
  <cp:keywords/>
  <dc:description/>
  <cp:lastModifiedBy>Prasanth Balisetty</cp:lastModifiedBy>
  <dcterms:modified xsi:type="dcterms:W3CDTF">2026-08-18T16:35:16Z</dcterms:modified>
  <cp:category/>
</cp:coreProperties>
</file>